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8800" windowHeight="12300"/>
  </bookViews>
  <sheets>
    <sheet name="2.50" sheetId="8" r:id="rId1"/>
    <sheet name="2.65" sheetId="11" r:id="rId2"/>
    <sheet name="2.70" sheetId="6" r:id="rId3"/>
    <sheet name="2.80" sheetId="7" r:id="rId4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8" i="8" l="1"/>
  <c r="G64" i="11" l="1"/>
  <c r="D56" i="11"/>
  <c r="K56" i="11" s="1"/>
  <c r="K55" i="11"/>
  <c r="H64" i="11" s="1"/>
  <c r="K54" i="11"/>
  <c r="K39" i="11"/>
  <c r="D57" i="11"/>
  <c r="K57" i="11" s="1"/>
  <c r="K38" i="11"/>
  <c r="K37" i="11"/>
  <c r="H46" i="11" s="1"/>
  <c r="K36" i="11"/>
  <c r="K35" i="11" s="1"/>
  <c r="H29" i="11"/>
  <c r="K22" i="11"/>
  <c r="K21" i="11"/>
  <c r="K20" i="11"/>
  <c r="K19" i="11"/>
  <c r="G29" i="11" s="1"/>
  <c r="K18" i="11" l="1"/>
  <c r="I46" i="11"/>
  <c r="I64" i="11"/>
  <c r="J64" i="11" s="1"/>
  <c r="I29" i="11"/>
  <c r="J29" i="11" s="1"/>
  <c r="G42" i="11"/>
  <c r="G60" i="11"/>
  <c r="G25" i="11"/>
  <c r="G46" i="11"/>
  <c r="K53" i="11"/>
  <c r="K56" i="8"/>
  <c r="D56" i="8"/>
  <c r="K55" i="8"/>
  <c r="K54" i="8"/>
  <c r="G60" i="8" s="1"/>
  <c r="K39" i="8"/>
  <c r="D39" i="8"/>
  <c r="D57" i="8" s="1"/>
  <c r="K57" i="8" s="1"/>
  <c r="K53" i="8" s="1"/>
  <c r="K38" i="8"/>
  <c r="K37" i="8"/>
  <c r="H46" i="8" s="1"/>
  <c r="K36" i="8"/>
  <c r="K22" i="8"/>
  <c r="K21" i="8"/>
  <c r="K20" i="8"/>
  <c r="H29" i="8" s="1"/>
  <c r="K19" i="8"/>
  <c r="D56" i="7"/>
  <c r="K56" i="7" s="1"/>
  <c r="K55" i="7"/>
  <c r="H64" i="7" s="1"/>
  <c r="K54" i="7"/>
  <c r="G64" i="7" s="1"/>
  <c r="D39" i="7"/>
  <c r="K39" i="7" s="1"/>
  <c r="K38" i="7"/>
  <c r="K37" i="7"/>
  <c r="H46" i="7" s="1"/>
  <c r="K36" i="7"/>
  <c r="G46" i="7" s="1"/>
  <c r="K22" i="7"/>
  <c r="K21" i="7"/>
  <c r="K20" i="7"/>
  <c r="K19" i="7"/>
  <c r="G25" i="7" s="1"/>
  <c r="J46" i="11" l="1"/>
  <c r="G64" i="8"/>
  <c r="I64" i="8"/>
  <c r="G42" i="8"/>
  <c r="G46" i="8"/>
  <c r="I29" i="8"/>
  <c r="J64" i="7"/>
  <c r="J46" i="7"/>
  <c r="K35" i="7"/>
  <c r="G29" i="7"/>
  <c r="I29" i="7"/>
  <c r="G25" i="8"/>
  <c r="G29" i="8"/>
  <c r="K35" i="8"/>
  <c r="H64" i="8"/>
  <c r="J64" i="8" s="1"/>
  <c r="I46" i="8"/>
  <c r="K18" i="8"/>
  <c r="D57" i="7"/>
  <c r="K57" i="7" s="1"/>
  <c r="G60" i="7" s="1"/>
  <c r="H29" i="7"/>
  <c r="J29" i="7" s="1"/>
  <c r="I46" i="7"/>
  <c r="I64" i="7"/>
  <c r="K18" i="7"/>
  <c r="G42" i="7"/>
  <c r="J29" i="8" l="1"/>
  <c r="J46" i="8"/>
  <c r="K53" i="7"/>
  <c r="D56" i="6" l="1"/>
  <c r="K56" i="6" s="1"/>
  <c r="K55" i="6"/>
  <c r="H64" i="6" s="1"/>
  <c r="K54" i="6"/>
  <c r="G64" i="6" s="1"/>
  <c r="D39" i="6"/>
  <c r="D57" i="6" s="1"/>
  <c r="K57" i="6" s="1"/>
  <c r="K38" i="6"/>
  <c r="K37" i="6"/>
  <c r="H46" i="6" s="1"/>
  <c r="K36" i="6"/>
  <c r="K22" i="6"/>
  <c r="K21" i="6"/>
  <c r="K20" i="6"/>
  <c r="H29" i="6" s="1"/>
  <c r="K19" i="6"/>
  <c r="G25" i="6" l="1"/>
  <c r="I29" i="6"/>
  <c r="K18" i="6"/>
  <c r="K39" i="6"/>
  <c r="G42" i="6" s="1"/>
  <c r="I64" i="6"/>
  <c r="J64" i="6" s="1"/>
  <c r="G60" i="6"/>
  <c r="G29" i="6"/>
  <c r="G46" i="6"/>
  <c r="K53" i="6"/>
  <c r="I46" i="6"/>
  <c r="K35" i="6" l="1"/>
  <c r="J29" i="6"/>
  <c r="J46" i="6"/>
</calcChain>
</file>

<file path=xl/sharedStrings.xml><?xml version="1.0" encoding="utf-8"?>
<sst xmlns="http://schemas.openxmlformats.org/spreadsheetml/2006/main" count="428" uniqueCount="57">
  <si>
    <t xml:space="preserve">                  시멘트 품질(응결, 압축강도)의 최적화를 통한 고객 만족도 증대를 목적으로 함</t>
    <phoneticPr fontId="2" type="noConversion"/>
  </si>
  <si>
    <t>2. 시험결과</t>
    <phoneticPr fontId="2" type="noConversion"/>
  </si>
  <si>
    <t xml:space="preserve">   1) 시험방법 :  ASTM C 564-04 (Optimum SO3 in hydraulic Cement Using 24_h Compressive Strength</t>
    <phoneticPr fontId="2" type="noConversion"/>
  </si>
  <si>
    <t xml:space="preserve">   2) Mortar 배합</t>
    <phoneticPr fontId="2" type="noConversion"/>
  </si>
  <si>
    <t>구분</t>
    <phoneticPr fontId="2" type="noConversion"/>
  </si>
  <si>
    <t>Mixture No.1</t>
    <phoneticPr fontId="2" type="noConversion"/>
  </si>
  <si>
    <t>Mixture No.2</t>
    <phoneticPr fontId="2" type="noConversion"/>
  </si>
  <si>
    <t>Mixture No.3</t>
    <phoneticPr fontId="2" type="noConversion"/>
  </si>
  <si>
    <t>시멘트(g)</t>
    <phoneticPr fontId="2" type="noConversion"/>
  </si>
  <si>
    <t>석고(g)</t>
    <phoneticPr fontId="2" type="noConversion"/>
  </si>
  <si>
    <t>표준사(g)</t>
    <phoneticPr fontId="2" type="noConversion"/>
  </si>
  <si>
    <t>-</t>
    <phoneticPr fontId="2" type="noConversion"/>
  </si>
  <si>
    <t xml:space="preserve">   3) 시험결과</t>
    <phoneticPr fontId="2" type="noConversion"/>
  </si>
  <si>
    <t xml:space="preserve"> (1) test -1 결과</t>
    <phoneticPr fontId="2" type="noConversion"/>
  </si>
  <si>
    <t>시험결과</t>
    <phoneticPr fontId="2" type="noConversion"/>
  </si>
  <si>
    <t>석고SO3(%)</t>
    <phoneticPr fontId="2" type="noConversion"/>
  </si>
  <si>
    <t>시멘트 SO3(%)</t>
    <phoneticPr fontId="2" type="noConversion"/>
  </si>
  <si>
    <t>No.1</t>
    <phoneticPr fontId="2" type="noConversion"/>
  </si>
  <si>
    <t>No.2</t>
    <phoneticPr fontId="2" type="noConversion"/>
  </si>
  <si>
    <t>No.3</t>
    <phoneticPr fontId="2" type="noConversion"/>
  </si>
  <si>
    <t>압축강도
(Mpa)</t>
    <phoneticPr fontId="2" type="noConversion"/>
  </si>
  <si>
    <t>G : SO3 최적 도출값(%)</t>
    <phoneticPr fontId="2" type="noConversion"/>
  </si>
  <si>
    <t>a : NO.2 압축강도 - NO.1 압축강도</t>
    <phoneticPr fontId="2" type="noConversion"/>
  </si>
  <si>
    <t>b : NO.3 압축강도 - NO.2 압축강도</t>
    <phoneticPr fontId="2" type="noConversion"/>
  </si>
  <si>
    <t>c : 석고 SO3 함량/100</t>
    <phoneticPr fontId="2" type="noConversion"/>
  </si>
  <si>
    <t>d : 시멘트 SO3함량(%)</t>
    <phoneticPr fontId="2" type="noConversion"/>
  </si>
  <si>
    <t>산출결과</t>
    <phoneticPr fontId="2" type="noConversion"/>
  </si>
  <si>
    <t>=</t>
    <phoneticPr fontId="2" type="noConversion"/>
  </si>
  <si>
    <t xml:space="preserve"> - 최적 SO3 (G) = a/(a+b)*c + d + (c/2)</t>
    <phoneticPr fontId="2" type="noConversion"/>
  </si>
  <si>
    <t xml:space="preserve"> - TEST 적정성 검증</t>
    <phoneticPr fontId="2" type="noConversion"/>
  </si>
  <si>
    <t>a 와 b 모두가 + 이고, a/b비가 2.00 보다 작을때</t>
    <phoneticPr fontId="2" type="noConversion"/>
  </si>
  <si>
    <t>a 와 b 모두가 - 이고, a/b비가 0.500 보다 클때</t>
    <phoneticPr fontId="2" type="noConversion"/>
  </si>
  <si>
    <t>재시험 조건</t>
    <phoneticPr fontId="2" type="noConversion"/>
  </si>
  <si>
    <t>a 가 "-"  이고 b 가 "+" 일때</t>
    <phoneticPr fontId="2" type="noConversion"/>
  </si>
  <si>
    <t>a</t>
    <phoneticPr fontId="2" type="noConversion"/>
  </si>
  <si>
    <t>b</t>
    <phoneticPr fontId="2" type="noConversion"/>
  </si>
  <si>
    <t>a/b</t>
    <phoneticPr fontId="2" type="noConversion"/>
  </si>
  <si>
    <t>판정</t>
    <phoneticPr fontId="2" type="noConversion"/>
  </si>
  <si>
    <t xml:space="preserve"> (3) test -2 결과</t>
    <phoneticPr fontId="2" type="noConversion"/>
  </si>
  <si>
    <t>○ 최적 SO3 도출</t>
    <phoneticPr fontId="2" type="noConversion"/>
  </si>
  <si>
    <t>3. 최적 so3 도출</t>
    <phoneticPr fontId="2" type="noConversion"/>
  </si>
  <si>
    <t xml:space="preserve"> (3) test -3 결과</t>
    <phoneticPr fontId="2" type="noConversion"/>
  </si>
  <si>
    <r>
      <rPr>
        <b/>
        <sz val="11"/>
        <color theme="1"/>
        <rFont val="맑은 고딕"/>
        <family val="3"/>
        <charset val="129"/>
        <scheme val="minor"/>
      </rPr>
      <t>1. 시험목적</t>
    </r>
    <r>
      <rPr>
        <sz val="11"/>
        <color theme="1"/>
        <rFont val="맑은 고딕"/>
        <family val="2"/>
        <charset val="129"/>
        <scheme val="minor"/>
      </rPr>
      <t xml:space="preserve"> : 기 적용중인 SO3의 적정성 여부를 검증하고 시험에 의해 도출된 SO3를 적용하여</t>
    </r>
    <phoneticPr fontId="2" type="noConversion"/>
  </si>
  <si>
    <t>품질팀</t>
    <phoneticPr fontId="2" type="noConversion"/>
  </si>
  <si>
    <t>1종 시멘트 최적 SO3 도출시험 결과</t>
    <phoneticPr fontId="2" type="noConversion"/>
  </si>
  <si>
    <t>3) 관리의 편리성을 위해 2.70을 최적 SO3 기준으로 관리</t>
    <phoneticPr fontId="2" type="noConversion"/>
  </si>
  <si>
    <t>3) 관리의 편리성을 위해 2.80을 최적 SO3 기준으로 관리</t>
    <phoneticPr fontId="2" type="noConversion"/>
  </si>
  <si>
    <t>2) 따라서 1종 시멘트 최적 SO3 는 2.79+2.82 / 2 = 2.805으로 결정</t>
    <phoneticPr fontId="2" type="noConversion"/>
  </si>
  <si>
    <t>1) 1차 및 2차 시험 결과  최적 SO3 는 2.50, 2.53 로 측정됨</t>
    <phoneticPr fontId="2" type="noConversion"/>
  </si>
  <si>
    <t>2) 따라서 1종 시멘트 최적 SO3 는 2.50+2.53 / 2 = 2.515으로 결정</t>
    <phoneticPr fontId="2" type="noConversion"/>
  </si>
  <si>
    <t>3) 관리의 편리성을 위해 2.50을 최적 SO3 기준으로 관리</t>
    <phoneticPr fontId="2" type="noConversion"/>
  </si>
  <si>
    <t>1) 1차 및 2차 시험 결과  최적 SO3 는 2.79, 2.82 로 측정됨</t>
    <phoneticPr fontId="2" type="noConversion"/>
  </si>
  <si>
    <t>1) 1차 및 2차 시험 결과  최적 SO3 는 2.71, 2.69 로 측정됨</t>
    <phoneticPr fontId="2" type="noConversion"/>
  </si>
  <si>
    <t>2) 따라서 1종 시멘트 최적 SO3 는 2.71+2.69 / 2 = 2.70으로 결정</t>
    <phoneticPr fontId="2" type="noConversion"/>
  </si>
  <si>
    <t>3) 관리의 편리성을 위해 2.65을 최적 SO3 기준으로 관리</t>
    <phoneticPr fontId="2" type="noConversion"/>
  </si>
  <si>
    <t>1) 1차 및 2차 시험 결과  최적 SO3 는 2.63, 2.68 로 측정됨</t>
    <phoneticPr fontId="2" type="noConversion"/>
  </si>
  <si>
    <t>2) 따라서 1종 시멘트 최적 SO3 는 2.63+2.68 / 2 = 2.655으로 결정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</si>
</sst>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"/>
  </numFmts>
  <fonts count="8"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u/>
      <sz val="14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40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2">
    <xf numFmtId="0" fontId="0" fillId="0" borderId="0" xfId="0">
      <alignment vertical="center"/>
    </xf>
    <xf numFmtId="0" fontId="0" fillId="0" borderId="18" xfId="0" applyBorder="1" applyAlignment="1">
      <alignment vertical="center"/>
    </xf>
    <xf numFmtId="0" fontId="0" fillId="0" borderId="6" xfId="0" applyBorder="1">
      <alignment vertical="center"/>
    </xf>
    <xf numFmtId="0" fontId="0" fillId="0" borderId="9" xfId="0" applyBorder="1">
      <alignment vertical="center"/>
    </xf>
    <xf numFmtId="0" fontId="0" fillId="0" borderId="28" xfId="0" applyBorder="1">
      <alignment vertical="center"/>
    </xf>
    <xf numFmtId="0" fontId="0" fillId="0" borderId="5" xfId="0" applyBorder="1">
      <alignment vertical="center"/>
    </xf>
    <xf numFmtId="0" fontId="0" fillId="0" borderId="4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19" xfId="0" applyBorder="1">
      <alignment vertical="center"/>
    </xf>
    <xf numFmtId="0" fontId="0" fillId="0" borderId="21" xfId="0" applyBorder="1">
      <alignment vertical="center"/>
    </xf>
    <xf numFmtId="0" fontId="0" fillId="0" borderId="20" xfId="0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4" fillId="0" borderId="0" xfId="0" applyFont="1">
      <alignment vertical="center"/>
    </xf>
    <xf numFmtId="0" fontId="0" fillId="2" borderId="29" xfId="0" applyFill="1" applyBorder="1">
      <alignment vertical="center"/>
    </xf>
    <xf numFmtId="0" fontId="6" fillId="0" borderId="21" xfId="0" applyFont="1" applyBorder="1">
      <alignment vertical="center"/>
    </xf>
    <xf numFmtId="0" fontId="6" fillId="0" borderId="20" xfId="0" applyFont="1" applyBorder="1">
      <alignment vertical="center"/>
    </xf>
    <xf numFmtId="0" fontId="3" fillId="0" borderId="0" xfId="0" applyFont="1">
      <alignment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2" fontId="4" fillId="0" borderId="0" xfId="0" applyNumberFormat="1" applyFont="1">
      <alignment vertical="center"/>
    </xf>
    <xf numFmtId="0" fontId="0" fillId="0" borderId="12" xfId="0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7" fillId="0" borderId="19" xfId="0" applyFont="1" applyBorder="1">
      <alignment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30" xfId="0" applyFill="1" applyBorder="1" applyAlignment="1">
      <alignment horizontal="center" vertical="center"/>
    </xf>
    <xf numFmtId="0" fontId="0" fillId="2" borderId="31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39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7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2" borderId="10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/>
    </xf>
    <xf numFmtId="0" fontId="0" fillId="2" borderId="23" xfId="0" applyFill="1" applyBorder="1" applyAlignment="1">
      <alignment horizontal="center" vertical="center"/>
    </xf>
    <xf numFmtId="0" fontId="0" fillId="0" borderId="19" xfId="0" applyBorder="1" applyAlignment="1">
      <alignment horizontal="center" vertical="center" wrapText="1"/>
    </xf>
    <xf numFmtId="176" fontId="0" fillId="0" borderId="19" xfId="0" applyNumberFormat="1" applyBorder="1" applyAlignment="1">
      <alignment horizontal="center" vertical="center"/>
    </xf>
    <xf numFmtId="176" fontId="0" fillId="0" borderId="20" xfId="0" applyNumberFormat="1" applyBorder="1" applyAlignment="1">
      <alignment horizontal="center" vertical="center"/>
    </xf>
    <xf numFmtId="0" fontId="0" fillId="0" borderId="19" xfId="0" applyBorder="1" applyAlignment="1">
      <alignment horizontal="left" vertical="center"/>
    </xf>
    <xf numFmtId="0" fontId="0" fillId="0" borderId="21" xfId="0" applyBorder="1" applyAlignment="1">
      <alignment horizontal="left" vertical="center"/>
    </xf>
    <xf numFmtId="2" fontId="0" fillId="0" borderId="17" xfId="0" applyNumberFormat="1" applyBorder="1" applyAlignment="1">
      <alignment horizontal="center" vertical="center"/>
    </xf>
    <xf numFmtId="2" fontId="0" fillId="0" borderId="36" xfId="0" applyNumberFormat="1" applyBorder="1" applyAlignment="1">
      <alignment horizontal="center" vertical="center"/>
    </xf>
    <xf numFmtId="2" fontId="0" fillId="0" borderId="37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1"/>
  <sheetViews>
    <sheetView tabSelected="1" view="pageBreakPreview" zoomScaleNormal="100" zoomScaleSheetLayoutView="100" workbookViewId="0">
      <selection activeCell="P71" sqref="P71"/>
    </sheetView>
  </sheetViews>
  <sheetFormatPr defaultRowHeight="16.5"/>
  <cols>
    <col min="1" max="1" width="2.625" customWidth="1"/>
  </cols>
  <sheetData>
    <row r="1" spans="1:11" ht="20.25">
      <c r="A1" s="86" t="s">
        <v>44</v>
      </c>
      <c r="B1" s="86"/>
      <c r="C1" s="86"/>
      <c r="D1" s="86"/>
      <c r="E1" s="86"/>
      <c r="F1" s="86"/>
      <c r="G1" s="86"/>
      <c r="H1" s="86"/>
      <c r="I1" s="86"/>
      <c r="J1" s="86"/>
      <c r="K1" s="86"/>
    </row>
    <row r="2" spans="1:11">
      <c r="I2" s="87" t="s">
        <v>43</v>
      </c>
      <c r="J2" s="87"/>
      <c r="K2" s="87"/>
    </row>
    <row r="4" spans="1:11">
      <c r="A4" s="18" t="s">
        <v>42</v>
      </c>
    </row>
    <row r="5" spans="1:11">
      <c r="A5" t="s">
        <v>0</v>
      </c>
    </row>
    <row r="7" spans="1:11">
      <c r="A7" s="14" t="s">
        <v>1</v>
      </c>
    </row>
    <row r="8" spans="1:11">
      <c r="A8" t="s">
        <v>2</v>
      </c>
    </row>
    <row r="9" spans="1:11">
      <c r="A9" t="s">
        <v>3</v>
      </c>
    </row>
    <row r="10" spans="1:11">
      <c r="B10" s="88" t="s">
        <v>4</v>
      </c>
      <c r="C10" s="89"/>
      <c r="D10" s="88" t="s">
        <v>8</v>
      </c>
      <c r="E10" s="90"/>
      <c r="F10" s="90" t="s">
        <v>9</v>
      </c>
      <c r="G10" s="90"/>
      <c r="H10" s="90" t="s">
        <v>10</v>
      </c>
      <c r="I10" s="91"/>
    </row>
    <row r="11" spans="1:11">
      <c r="B11" s="80" t="s">
        <v>5</v>
      </c>
      <c r="C11" s="81"/>
      <c r="D11" s="80">
        <v>1350</v>
      </c>
      <c r="E11" s="82"/>
      <c r="F11" s="82" t="s">
        <v>11</v>
      </c>
      <c r="G11" s="82"/>
      <c r="H11" s="82">
        <v>1350</v>
      </c>
      <c r="I11" s="83"/>
    </row>
    <row r="12" spans="1:11">
      <c r="B12" s="59" t="s">
        <v>6</v>
      </c>
      <c r="C12" s="60"/>
      <c r="D12" s="59">
        <v>1336</v>
      </c>
      <c r="E12" s="84"/>
      <c r="F12" s="84">
        <v>14</v>
      </c>
      <c r="G12" s="84"/>
      <c r="H12" s="84">
        <v>1350</v>
      </c>
      <c r="I12" s="85"/>
    </row>
    <row r="13" spans="1:11">
      <c r="B13" s="63" t="s">
        <v>7</v>
      </c>
      <c r="C13" s="64"/>
      <c r="D13" s="63">
        <v>1321</v>
      </c>
      <c r="E13" s="78"/>
      <c r="F13" s="78">
        <v>29</v>
      </c>
      <c r="G13" s="78"/>
      <c r="H13" s="78">
        <v>1350</v>
      </c>
      <c r="I13" s="79"/>
    </row>
    <row r="15" spans="1:11">
      <c r="A15" t="s">
        <v>12</v>
      </c>
    </row>
    <row r="16" spans="1:11">
      <c r="B16" s="14" t="s">
        <v>13</v>
      </c>
    </row>
    <row r="17" spans="2:11">
      <c r="B17" s="67" t="s">
        <v>4</v>
      </c>
      <c r="C17" s="68"/>
      <c r="D17" s="67" t="s">
        <v>14</v>
      </c>
      <c r="E17" s="68"/>
      <c r="F17" s="1"/>
      <c r="G17" s="67" t="s">
        <v>4</v>
      </c>
      <c r="H17" s="69"/>
      <c r="I17" s="69"/>
      <c r="J17" s="69"/>
      <c r="K17" s="15" t="s">
        <v>26</v>
      </c>
    </row>
    <row r="18" spans="2:11">
      <c r="B18" s="70" t="s">
        <v>20</v>
      </c>
      <c r="C18" s="22" t="s">
        <v>17</v>
      </c>
      <c r="D18" s="71">
        <v>11.7</v>
      </c>
      <c r="E18" s="72"/>
      <c r="F18" s="1"/>
      <c r="G18" s="73" t="s">
        <v>21</v>
      </c>
      <c r="H18" s="74"/>
      <c r="I18" s="74"/>
      <c r="J18" s="74"/>
      <c r="K18" s="4">
        <f>+ROUND(((K19/(K19-K20))*K21)+K22+(K21/2),2)</f>
        <v>2.5</v>
      </c>
    </row>
    <row r="19" spans="2:11">
      <c r="B19" s="59"/>
      <c r="C19" s="25" t="s">
        <v>18</v>
      </c>
      <c r="D19" s="59">
        <v>11.5</v>
      </c>
      <c r="E19" s="60"/>
      <c r="F19" s="1"/>
      <c r="G19" s="61" t="s">
        <v>22</v>
      </c>
      <c r="H19" s="62"/>
      <c r="I19" s="62"/>
      <c r="J19" s="62"/>
      <c r="K19" s="2">
        <f>+D19-D18</f>
        <v>-0.19999999999999929</v>
      </c>
    </row>
    <row r="20" spans="2:11">
      <c r="B20" s="59"/>
      <c r="C20" s="25" t="s">
        <v>19</v>
      </c>
      <c r="D20" s="59">
        <v>10.8</v>
      </c>
      <c r="E20" s="60"/>
      <c r="F20" s="1"/>
      <c r="G20" s="61" t="s">
        <v>23</v>
      </c>
      <c r="H20" s="62"/>
      <c r="I20" s="62"/>
      <c r="J20" s="62"/>
      <c r="K20" s="2">
        <f>+D20-D19</f>
        <v>-0.69999999999999929</v>
      </c>
    </row>
    <row r="21" spans="2:11">
      <c r="B21" s="59" t="s">
        <v>15</v>
      </c>
      <c r="C21" s="60"/>
      <c r="D21" s="59">
        <v>39.49</v>
      </c>
      <c r="E21" s="60"/>
      <c r="F21" s="1"/>
      <c r="G21" s="61" t="s">
        <v>24</v>
      </c>
      <c r="H21" s="62"/>
      <c r="I21" s="62"/>
      <c r="J21" s="62"/>
      <c r="K21" s="2">
        <f>+D21/100</f>
        <v>0.39490000000000003</v>
      </c>
    </row>
    <row r="22" spans="2:11">
      <c r="B22" s="63" t="s">
        <v>16</v>
      </c>
      <c r="C22" s="64"/>
      <c r="D22" s="63">
        <v>2.46</v>
      </c>
      <c r="E22" s="64"/>
      <c r="F22" s="1"/>
      <c r="G22" s="65" t="s">
        <v>25</v>
      </c>
      <c r="H22" s="66"/>
      <c r="I22" s="66"/>
      <c r="J22" s="66"/>
      <c r="K22" s="3">
        <f>+D22</f>
        <v>2.46</v>
      </c>
    </row>
    <row r="24" spans="2:11">
      <c r="B24" t="s">
        <v>39</v>
      </c>
    </row>
    <row r="25" spans="2:11">
      <c r="B25" t="s">
        <v>28</v>
      </c>
      <c r="F25" t="s">
        <v>27</v>
      </c>
      <c r="G25" s="24">
        <f>+ROUND(((K19/(K19-K20))*K21)+K22+(K21/2),2)</f>
        <v>2.5</v>
      </c>
    </row>
    <row r="26" spans="2:11">
      <c r="B26" t="s">
        <v>29</v>
      </c>
    </row>
    <row r="27" spans="2:11">
      <c r="B27" s="34" t="s">
        <v>32</v>
      </c>
      <c r="C27" s="35"/>
      <c r="D27" s="35"/>
      <c r="E27" s="35"/>
      <c r="F27" s="36"/>
      <c r="G27" s="34" t="s">
        <v>26</v>
      </c>
      <c r="H27" s="35"/>
      <c r="I27" s="40"/>
      <c r="J27" s="41" t="s">
        <v>37</v>
      </c>
      <c r="K27" s="40"/>
    </row>
    <row r="28" spans="2:11">
      <c r="B28" s="37"/>
      <c r="C28" s="38"/>
      <c r="D28" s="38"/>
      <c r="E28" s="38"/>
      <c r="F28" s="39"/>
      <c r="G28" s="26" t="s">
        <v>34</v>
      </c>
      <c r="H28" s="27" t="s">
        <v>35</v>
      </c>
      <c r="I28" s="28" t="s">
        <v>36</v>
      </c>
      <c r="J28" s="42"/>
      <c r="K28" s="43"/>
    </row>
    <row r="29" spans="2:11">
      <c r="B29" s="29" t="s">
        <v>30</v>
      </c>
      <c r="C29" s="16"/>
      <c r="D29" s="16"/>
      <c r="E29" s="16"/>
      <c r="F29" s="17"/>
      <c r="G29" s="44" t="str">
        <f>+IF(K19&gt;0,"+","-")</f>
        <v>-</v>
      </c>
      <c r="H29" s="47" t="str">
        <f>+IF(K20&gt;0,"+","-")</f>
        <v>-</v>
      </c>
      <c r="I29" s="75">
        <f>+K19/K20</f>
        <v>0.28571428571428498</v>
      </c>
      <c r="J29" s="53" t="str">
        <f>+IF(G29=H29,IF(I29&lt;2,IF(I29&gt;0.5,"재시험","적정"),"적정"),"적정")</f>
        <v>적정</v>
      </c>
      <c r="K29" s="54"/>
    </row>
    <row r="30" spans="2:11">
      <c r="B30" s="6" t="s">
        <v>31</v>
      </c>
      <c r="C30" s="5"/>
      <c r="D30" s="5"/>
      <c r="E30" s="5"/>
      <c r="F30" s="12"/>
      <c r="G30" s="45"/>
      <c r="H30" s="48"/>
      <c r="I30" s="76"/>
      <c r="J30" s="55"/>
      <c r="K30" s="56"/>
    </row>
    <row r="31" spans="2:11">
      <c r="B31" s="7" t="s">
        <v>33</v>
      </c>
      <c r="C31" s="8"/>
      <c r="D31" s="8"/>
      <c r="E31" s="8"/>
      <c r="F31" s="13"/>
      <c r="G31" s="46"/>
      <c r="H31" s="49"/>
      <c r="I31" s="77"/>
      <c r="J31" s="57"/>
      <c r="K31" s="58"/>
    </row>
    <row r="33" spans="2:11">
      <c r="B33" s="14" t="s">
        <v>38</v>
      </c>
    </row>
    <row r="34" spans="2:11">
      <c r="B34" s="67" t="s">
        <v>4</v>
      </c>
      <c r="C34" s="68"/>
      <c r="D34" s="67" t="s">
        <v>14</v>
      </c>
      <c r="E34" s="68"/>
      <c r="F34" s="1"/>
      <c r="G34" s="67" t="s">
        <v>4</v>
      </c>
      <c r="H34" s="69"/>
      <c r="I34" s="69"/>
      <c r="J34" s="69"/>
      <c r="K34" s="15" t="s">
        <v>26</v>
      </c>
    </row>
    <row r="35" spans="2:11">
      <c r="B35" s="70" t="s">
        <v>20</v>
      </c>
      <c r="C35" s="22" t="s">
        <v>17</v>
      </c>
      <c r="D35" s="71">
        <v>11.8</v>
      </c>
      <c r="E35" s="72"/>
      <c r="F35" s="1"/>
      <c r="G35" s="73" t="s">
        <v>21</v>
      </c>
      <c r="H35" s="74"/>
      <c r="I35" s="74"/>
      <c r="J35" s="74"/>
      <c r="K35" s="4">
        <f>ROUND(((K36/(K36-K37))*K38)+K39+(K38/2),2)</f>
        <v>2.5299999999999998</v>
      </c>
    </row>
    <row r="36" spans="2:11">
      <c r="B36" s="59"/>
      <c r="C36" s="25" t="s">
        <v>18</v>
      </c>
      <c r="D36" s="59">
        <v>11.7</v>
      </c>
      <c r="E36" s="60"/>
      <c r="F36" s="1"/>
      <c r="G36" s="61" t="s">
        <v>22</v>
      </c>
      <c r="H36" s="62"/>
      <c r="I36" s="62"/>
      <c r="J36" s="62"/>
      <c r="K36" s="2">
        <f>+D36-D35</f>
        <v>-0.10000000000000142</v>
      </c>
    </row>
    <row r="37" spans="2:11">
      <c r="B37" s="59"/>
      <c r="C37" s="25" t="s">
        <v>19</v>
      </c>
      <c r="D37" s="59">
        <v>11.3</v>
      </c>
      <c r="E37" s="60"/>
      <c r="F37" s="1"/>
      <c r="G37" s="61" t="s">
        <v>23</v>
      </c>
      <c r="H37" s="62"/>
      <c r="I37" s="62"/>
      <c r="J37" s="62"/>
      <c r="K37" s="2">
        <f>+D37-D36</f>
        <v>-0.39999999999999858</v>
      </c>
    </row>
    <row r="38" spans="2:11">
      <c r="B38" s="59" t="s">
        <v>15</v>
      </c>
      <c r="C38" s="60"/>
      <c r="D38" s="59">
        <f>D21</f>
        <v>39.49</v>
      </c>
      <c r="E38" s="60"/>
      <c r="F38" s="1"/>
      <c r="G38" s="61" t="s">
        <v>24</v>
      </c>
      <c r="H38" s="62"/>
      <c r="I38" s="62"/>
      <c r="J38" s="62"/>
      <c r="K38" s="2">
        <f>+D38/100</f>
        <v>0.39490000000000003</v>
      </c>
    </row>
    <row r="39" spans="2:11">
      <c r="B39" s="63" t="s">
        <v>16</v>
      </c>
      <c r="C39" s="64"/>
      <c r="D39" s="63">
        <f>+D22</f>
        <v>2.46</v>
      </c>
      <c r="E39" s="64"/>
      <c r="F39" s="1"/>
      <c r="G39" s="65" t="s">
        <v>25</v>
      </c>
      <c r="H39" s="66"/>
      <c r="I39" s="66"/>
      <c r="J39" s="66"/>
      <c r="K39" s="3">
        <f>+D39</f>
        <v>2.46</v>
      </c>
    </row>
    <row r="41" spans="2:11">
      <c r="B41" t="s">
        <v>39</v>
      </c>
    </row>
    <row r="42" spans="2:11">
      <c r="B42" t="s">
        <v>28</v>
      </c>
      <c r="F42" t="s">
        <v>27</v>
      </c>
      <c r="G42" s="24">
        <f>+ROUND(((K36/(K36-K37))*K38)+K39+(K38/2),2)</f>
        <v>2.5299999999999998</v>
      </c>
    </row>
    <row r="43" spans="2:11">
      <c r="B43" t="s">
        <v>29</v>
      </c>
    </row>
    <row r="44" spans="2:11">
      <c r="B44" s="34" t="s">
        <v>32</v>
      </c>
      <c r="C44" s="35"/>
      <c r="D44" s="35"/>
      <c r="E44" s="35"/>
      <c r="F44" s="36"/>
      <c r="G44" s="34" t="s">
        <v>26</v>
      </c>
      <c r="H44" s="35"/>
      <c r="I44" s="40"/>
      <c r="J44" s="41" t="s">
        <v>37</v>
      </c>
      <c r="K44" s="40"/>
    </row>
    <row r="45" spans="2:11">
      <c r="B45" s="37"/>
      <c r="C45" s="38"/>
      <c r="D45" s="38"/>
      <c r="E45" s="38"/>
      <c r="F45" s="39"/>
      <c r="G45" s="26" t="s">
        <v>34</v>
      </c>
      <c r="H45" s="27" t="s">
        <v>35</v>
      </c>
      <c r="I45" s="28" t="s">
        <v>36</v>
      </c>
      <c r="J45" s="42"/>
      <c r="K45" s="43"/>
    </row>
    <row r="46" spans="2:11">
      <c r="B46" s="9" t="s">
        <v>30</v>
      </c>
      <c r="C46" s="10"/>
      <c r="D46" s="10"/>
      <c r="E46" s="10"/>
      <c r="F46" s="11"/>
      <c r="G46" s="44" t="str">
        <f>+IF(K36&gt;0,"+","-")</f>
        <v>-</v>
      </c>
      <c r="H46" s="47" t="str">
        <f>+IF(K37&gt;0,"+","-")</f>
        <v>-</v>
      </c>
      <c r="I46" s="50">
        <f>ROUND(K36/K37,2)</f>
        <v>0.25</v>
      </c>
      <c r="J46" s="53" t="str">
        <f>+IF(G46=H46,IF(I46&lt;2,IF(I46&gt;0.5,"재시험","적정"),"적정"),"적정")</f>
        <v>적정</v>
      </c>
      <c r="K46" s="54"/>
    </row>
    <row r="47" spans="2:11">
      <c r="B47" s="6" t="s">
        <v>31</v>
      </c>
      <c r="C47" s="5"/>
      <c r="D47" s="5"/>
      <c r="E47" s="5"/>
      <c r="F47" s="12"/>
      <c r="G47" s="45"/>
      <c r="H47" s="48"/>
      <c r="I47" s="51"/>
      <c r="J47" s="55"/>
      <c r="K47" s="56"/>
    </row>
    <row r="48" spans="2:11">
      <c r="B48" s="7" t="s">
        <v>33</v>
      </c>
      <c r="C48" s="8"/>
      <c r="D48" s="8"/>
      <c r="E48" s="8"/>
      <c r="F48" s="13"/>
      <c r="G48" s="46"/>
      <c r="H48" s="49"/>
      <c r="I48" s="52"/>
      <c r="J48" s="57"/>
      <c r="K48" s="58"/>
    </row>
    <row r="51" spans="2:11">
      <c r="B51" s="14" t="s">
        <v>41</v>
      </c>
    </row>
    <row r="52" spans="2:11">
      <c r="B52" s="67" t="s">
        <v>4</v>
      </c>
      <c r="C52" s="68"/>
      <c r="D52" s="67" t="s">
        <v>14</v>
      </c>
      <c r="E52" s="68"/>
      <c r="F52" s="1"/>
      <c r="G52" s="67" t="s">
        <v>4</v>
      </c>
      <c r="H52" s="69"/>
      <c r="I52" s="69"/>
      <c r="J52" s="69"/>
      <c r="K52" s="15" t="s">
        <v>26</v>
      </c>
    </row>
    <row r="53" spans="2:11">
      <c r="B53" s="70" t="s">
        <v>20</v>
      </c>
      <c r="C53" s="22" t="s">
        <v>17</v>
      </c>
      <c r="D53" s="71"/>
      <c r="E53" s="72"/>
      <c r="F53" s="1"/>
      <c r="G53" s="73" t="s">
        <v>21</v>
      </c>
      <c r="H53" s="74"/>
      <c r="I53" s="74"/>
      <c r="J53" s="74"/>
      <c r="K53" s="4" t="e">
        <f>+ROUND(((K54/(K54-K55))*K56)+K57+(K56/2),2)</f>
        <v>#DIV/0!</v>
      </c>
    </row>
    <row r="54" spans="2:11">
      <c r="B54" s="59"/>
      <c r="C54" s="25" t="s">
        <v>18</v>
      </c>
      <c r="D54" s="59"/>
      <c r="E54" s="60"/>
      <c r="F54" s="1"/>
      <c r="G54" s="61" t="s">
        <v>22</v>
      </c>
      <c r="H54" s="62"/>
      <c r="I54" s="62"/>
      <c r="J54" s="62"/>
      <c r="K54" s="2">
        <f>+D54-D53</f>
        <v>0</v>
      </c>
    </row>
    <row r="55" spans="2:11">
      <c r="B55" s="59"/>
      <c r="C55" s="25" t="s">
        <v>19</v>
      </c>
      <c r="D55" s="59"/>
      <c r="E55" s="60"/>
      <c r="F55" s="1"/>
      <c r="G55" s="61" t="s">
        <v>23</v>
      </c>
      <c r="H55" s="62"/>
      <c r="I55" s="62"/>
      <c r="J55" s="62"/>
      <c r="K55" s="2">
        <f>+D55-D54</f>
        <v>0</v>
      </c>
    </row>
    <row r="56" spans="2:11">
      <c r="B56" s="59" t="s">
        <v>15</v>
      </c>
      <c r="C56" s="60"/>
      <c r="D56" s="59">
        <f>D21</f>
        <v>39.49</v>
      </c>
      <c r="E56" s="60"/>
      <c r="F56" s="1"/>
      <c r="G56" s="61" t="s">
        <v>24</v>
      </c>
      <c r="H56" s="62"/>
      <c r="I56" s="62"/>
      <c r="J56" s="62"/>
      <c r="K56" s="2">
        <f>+D56/100</f>
        <v>0.39490000000000003</v>
      </c>
    </row>
    <row r="57" spans="2:11">
      <c r="B57" s="63" t="s">
        <v>16</v>
      </c>
      <c r="C57" s="64"/>
      <c r="D57" s="63">
        <f>+D39</f>
        <v>2.46</v>
      </c>
      <c r="E57" s="64"/>
      <c r="F57" s="1"/>
      <c r="G57" s="65" t="s">
        <v>25</v>
      </c>
      <c r="H57" s="66"/>
      <c r="I57" s="66"/>
      <c r="J57" s="66"/>
      <c r="K57" s="3">
        <f>+D57</f>
        <v>2.46</v>
      </c>
    </row>
    <row r="59" spans="2:11">
      <c r="B59" t="s">
        <v>39</v>
      </c>
    </row>
    <row r="60" spans="2:11">
      <c r="B60" t="s">
        <v>28</v>
      </c>
      <c r="F60" t="s">
        <v>27</v>
      </c>
      <c r="G60" s="24" t="e">
        <f>+ROUND(((K54/(K54-K55))*K56)+K57+(K56/2),2)</f>
        <v>#DIV/0!</v>
      </c>
    </row>
    <row r="61" spans="2:11">
      <c r="B61" t="s">
        <v>29</v>
      </c>
    </row>
    <row r="62" spans="2:11">
      <c r="B62" s="34" t="s">
        <v>32</v>
      </c>
      <c r="C62" s="35"/>
      <c r="D62" s="35"/>
      <c r="E62" s="35"/>
      <c r="F62" s="36"/>
      <c r="G62" s="34" t="s">
        <v>26</v>
      </c>
      <c r="H62" s="35"/>
      <c r="I62" s="40"/>
      <c r="J62" s="41" t="s">
        <v>37</v>
      </c>
      <c r="K62" s="40"/>
    </row>
    <row r="63" spans="2:11">
      <c r="B63" s="37"/>
      <c r="C63" s="38"/>
      <c r="D63" s="38"/>
      <c r="E63" s="38"/>
      <c r="F63" s="39"/>
      <c r="G63" s="26" t="s">
        <v>34</v>
      </c>
      <c r="H63" s="27" t="s">
        <v>35</v>
      </c>
      <c r="I63" s="28" t="s">
        <v>36</v>
      </c>
      <c r="J63" s="42"/>
      <c r="K63" s="43"/>
    </row>
    <row r="64" spans="2:11">
      <c r="B64" s="9" t="s">
        <v>30</v>
      </c>
      <c r="C64" s="10"/>
      <c r="D64" s="10"/>
      <c r="E64" s="10"/>
      <c r="F64" s="11"/>
      <c r="G64" s="44" t="str">
        <f>+IF(K54&gt;0,"+","-")</f>
        <v>-</v>
      </c>
      <c r="H64" s="47" t="str">
        <f>+IF(K55&gt;0,"+","-")</f>
        <v>-</v>
      </c>
      <c r="I64" s="50" t="e">
        <f>ROUND(+K54/K55,2)</f>
        <v>#DIV/0!</v>
      </c>
      <c r="J64" s="53" t="e">
        <f>+IF(G64=H64,IF(I64&lt;2,IF(I64&gt;0.5,"재시험","적정"),"적정"),"적정")</f>
        <v>#DIV/0!</v>
      </c>
      <c r="K64" s="54"/>
    </row>
    <row r="65" spans="1:11">
      <c r="B65" s="6" t="s">
        <v>31</v>
      </c>
      <c r="C65" s="5"/>
      <c r="D65" s="5"/>
      <c r="E65" s="5"/>
      <c r="F65" s="12"/>
      <c r="G65" s="45"/>
      <c r="H65" s="48"/>
      <c r="I65" s="51"/>
      <c r="J65" s="55"/>
      <c r="K65" s="56"/>
    </row>
    <row r="66" spans="1:11">
      <c r="B66" s="7" t="s">
        <v>33</v>
      </c>
      <c r="C66" s="8"/>
      <c r="D66" s="8"/>
      <c r="E66" s="8"/>
      <c r="F66" s="13"/>
      <c r="G66" s="46"/>
      <c r="H66" s="49"/>
      <c r="I66" s="52"/>
      <c r="J66" s="57"/>
      <c r="K66" s="58"/>
    </row>
    <row r="68" spans="1:11">
      <c r="A68" s="14" t="s">
        <v>40</v>
      </c>
    </row>
    <row r="69" spans="1:11">
      <c r="B69" t="s">
        <v>48</v>
      </c>
    </row>
    <row r="70" spans="1:11">
      <c r="B70" t="s">
        <v>49</v>
      </c>
    </row>
    <row r="71" spans="1:11">
      <c r="B71" t="s">
        <v>50</v>
      </c>
    </row>
  </sheetData>
  <mergeCells count="87">
    <mergeCell ref="A1:K1"/>
    <mergeCell ref="I2:K2"/>
    <mergeCell ref="B10:C10"/>
    <mergeCell ref="D10:E10"/>
    <mergeCell ref="F10:G10"/>
    <mergeCell ref="H10:I10"/>
    <mergeCell ref="B11:C11"/>
    <mergeCell ref="D11:E11"/>
    <mergeCell ref="F11:G11"/>
    <mergeCell ref="H11:I11"/>
    <mergeCell ref="B12:C12"/>
    <mergeCell ref="D12:E12"/>
    <mergeCell ref="F12:G12"/>
    <mergeCell ref="H12:I12"/>
    <mergeCell ref="B13:C13"/>
    <mergeCell ref="D13:E13"/>
    <mergeCell ref="F13:G13"/>
    <mergeCell ref="H13:I13"/>
    <mergeCell ref="B17:C17"/>
    <mergeCell ref="D17:E17"/>
    <mergeCell ref="G17:J17"/>
    <mergeCell ref="B18:B20"/>
    <mergeCell ref="D18:E18"/>
    <mergeCell ref="G18:J18"/>
    <mergeCell ref="D19:E19"/>
    <mergeCell ref="G19:J19"/>
    <mergeCell ref="D20:E20"/>
    <mergeCell ref="G20:J20"/>
    <mergeCell ref="B21:C21"/>
    <mergeCell ref="D21:E21"/>
    <mergeCell ref="G21:J21"/>
    <mergeCell ref="B22:C22"/>
    <mergeCell ref="D22:E22"/>
    <mergeCell ref="G22:J22"/>
    <mergeCell ref="B27:F28"/>
    <mergeCell ref="G27:I27"/>
    <mergeCell ref="J27:K28"/>
    <mergeCell ref="G29:G31"/>
    <mergeCell ref="H29:H31"/>
    <mergeCell ref="I29:I31"/>
    <mergeCell ref="J29:K31"/>
    <mergeCell ref="B34:C34"/>
    <mergeCell ref="D34:E34"/>
    <mergeCell ref="G34:J34"/>
    <mergeCell ref="B35:B37"/>
    <mergeCell ref="D35:E35"/>
    <mergeCell ref="G35:J35"/>
    <mergeCell ref="D36:E36"/>
    <mergeCell ref="G36:J36"/>
    <mergeCell ref="D37:E37"/>
    <mergeCell ref="G37:J37"/>
    <mergeCell ref="B38:C38"/>
    <mergeCell ref="D38:E38"/>
    <mergeCell ref="G38:J38"/>
    <mergeCell ref="B39:C39"/>
    <mergeCell ref="D39:E39"/>
    <mergeCell ref="G39:J39"/>
    <mergeCell ref="B44:F45"/>
    <mergeCell ref="G44:I44"/>
    <mergeCell ref="J44:K45"/>
    <mergeCell ref="G46:G48"/>
    <mergeCell ref="H46:H48"/>
    <mergeCell ref="I46:I48"/>
    <mergeCell ref="J46:K48"/>
    <mergeCell ref="B52:C52"/>
    <mergeCell ref="D52:E52"/>
    <mergeCell ref="G52:J52"/>
    <mergeCell ref="B53:B55"/>
    <mergeCell ref="D53:E53"/>
    <mergeCell ref="G53:J53"/>
    <mergeCell ref="D54:E54"/>
    <mergeCell ref="G54:J54"/>
    <mergeCell ref="D55:E55"/>
    <mergeCell ref="G55:J55"/>
    <mergeCell ref="B56:C56"/>
    <mergeCell ref="D56:E56"/>
    <mergeCell ref="G56:J56"/>
    <mergeCell ref="B57:C57"/>
    <mergeCell ref="D57:E57"/>
    <mergeCell ref="G57:J57"/>
    <mergeCell ref="B62:F63"/>
    <mergeCell ref="G62:I62"/>
    <mergeCell ref="J62:K63"/>
    <mergeCell ref="G64:G66"/>
    <mergeCell ref="H64:H66"/>
    <mergeCell ref="I64:I66"/>
    <mergeCell ref="J64:K66"/>
  </mergeCells>
  <phoneticPr fontId="2" type="noConversion"/>
  <printOptions horizontalCentered="1"/>
  <pageMargins left="0.19685039370078741" right="0.19685039370078741" top="0.78740157480314965" bottom="0.39370078740157483" header="0.31496062992125984" footer="0.31496062992125984"/>
  <pageSetup paperSize="9" scale="99" fitToHeight="4" orientation="portrait" r:id="rId1"/>
  <rowBreaks count="1" manualBreakCount="1">
    <brk id="43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1"/>
  <sheetViews>
    <sheetView view="pageBreakPreview" topLeftCell="A55" zoomScaleNormal="100" zoomScaleSheetLayoutView="100" workbookViewId="0">
      <selection activeCell="O57" sqref="O57"/>
    </sheetView>
  </sheetViews>
  <sheetFormatPr defaultRowHeight="16.5"/>
  <cols>
    <col min="1" max="1" width="2.625" customWidth="1"/>
  </cols>
  <sheetData>
    <row r="1" spans="1:11" ht="20.25">
      <c r="A1" s="86" t="s">
        <v>44</v>
      </c>
      <c r="B1" s="86"/>
      <c r="C1" s="86"/>
      <c r="D1" s="86"/>
      <c r="E1" s="86"/>
      <c r="F1" s="86"/>
      <c r="G1" s="86"/>
      <c r="H1" s="86"/>
      <c r="I1" s="86"/>
      <c r="J1" s="86"/>
      <c r="K1" s="86"/>
    </row>
    <row r="2" spans="1:11">
      <c r="I2" s="87" t="s">
        <v>43</v>
      </c>
      <c r="J2" s="87"/>
      <c r="K2" s="87"/>
    </row>
    <row r="4" spans="1:11">
      <c r="A4" s="18" t="s">
        <v>42</v>
      </c>
    </row>
    <row r="5" spans="1:11">
      <c r="A5" t="s">
        <v>0</v>
      </c>
    </row>
    <row r="7" spans="1:11">
      <c r="A7" s="14" t="s">
        <v>1</v>
      </c>
    </row>
    <row r="8" spans="1:11">
      <c r="A8" t="s">
        <v>2</v>
      </c>
    </row>
    <row r="9" spans="1:11">
      <c r="A9" t="s">
        <v>3</v>
      </c>
    </row>
    <row r="10" spans="1:11">
      <c r="B10" s="88" t="s">
        <v>4</v>
      </c>
      <c r="C10" s="89"/>
      <c r="D10" s="88" t="s">
        <v>8</v>
      </c>
      <c r="E10" s="90"/>
      <c r="F10" s="90" t="s">
        <v>9</v>
      </c>
      <c r="G10" s="90"/>
      <c r="H10" s="90" t="s">
        <v>10</v>
      </c>
      <c r="I10" s="91"/>
    </row>
    <row r="11" spans="1:11">
      <c r="B11" s="80" t="s">
        <v>5</v>
      </c>
      <c r="C11" s="81"/>
      <c r="D11" s="80">
        <v>500</v>
      </c>
      <c r="E11" s="82"/>
      <c r="F11" s="82" t="s">
        <v>11</v>
      </c>
      <c r="G11" s="82"/>
      <c r="H11" s="82">
        <v>1350</v>
      </c>
      <c r="I11" s="83"/>
    </row>
    <row r="12" spans="1:11">
      <c r="B12" s="59" t="s">
        <v>6</v>
      </c>
      <c r="C12" s="60"/>
      <c r="D12" s="59">
        <v>495</v>
      </c>
      <c r="E12" s="84"/>
      <c r="F12" s="84">
        <v>5</v>
      </c>
      <c r="G12" s="84"/>
      <c r="H12" s="84">
        <v>1350</v>
      </c>
      <c r="I12" s="85"/>
    </row>
    <row r="13" spans="1:11">
      <c r="B13" s="63" t="s">
        <v>7</v>
      </c>
      <c r="C13" s="64"/>
      <c r="D13" s="63">
        <v>490</v>
      </c>
      <c r="E13" s="78"/>
      <c r="F13" s="78">
        <v>10</v>
      </c>
      <c r="G13" s="78"/>
      <c r="H13" s="78">
        <v>1350</v>
      </c>
      <c r="I13" s="79"/>
    </row>
    <row r="15" spans="1:11">
      <c r="A15" t="s">
        <v>12</v>
      </c>
    </row>
    <row r="16" spans="1:11">
      <c r="B16" s="14" t="s">
        <v>13</v>
      </c>
    </row>
    <row r="17" spans="2:11">
      <c r="B17" s="67" t="s">
        <v>4</v>
      </c>
      <c r="C17" s="68"/>
      <c r="D17" s="67" t="s">
        <v>14</v>
      </c>
      <c r="E17" s="68"/>
      <c r="F17" s="1"/>
      <c r="G17" s="67" t="s">
        <v>4</v>
      </c>
      <c r="H17" s="69"/>
      <c r="I17" s="69"/>
      <c r="J17" s="69"/>
      <c r="K17" s="15" t="s">
        <v>26</v>
      </c>
    </row>
    <row r="18" spans="2:11">
      <c r="B18" s="70" t="s">
        <v>20</v>
      </c>
      <c r="C18" s="22" t="s">
        <v>17</v>
      </c>
      <c r="D18" s="71">
        <v>14.5</v>
      </c>
      <c r="E18" s="72"/>
      <c r="F18" s="1"/>
      <c r="G18" s="73" t="s">
        <v>21</v>
      </c>
      <c r="H18" s="74"/>
      <c r="I18" s="74"/>
      <c r="J18" s="74"/>
      <c r="K18" s="4">
        <f>+ROUND(((K19/(K19-K20))*K21)+K22+(K21/2),2)</f>
        <v>2.63</v>
      </c>
    </row>
    <row r="19" spans="2:11">
      <c r="B19" s="59"/>
      <c r="C19" s="33" t="s">
        <v>18</v>
      </c>
      <c r="D19" s="59">
        <v>14.4</v>
      </c>
      <c r="E19" s="60"/>
      <c r="F19" s="1"/>
      <c r="G19" s="61" t="s">
        <v>22</v>
      </c>
      <c r="H19" s="62"/>
      <c r="I19" s="62"/>
      <c r="J19" s="62"/>
      <c r="K19" s="2">
        <f>+D19-D18</f>
        <v>-9.9999999999999645E-2</v>
      </c>
    </row>
    <row r="20" spans="2:11">
      <c r="B20" s="59"/>
      <c r="C20" s="33" t="s">
        <v>19</v>
      </c>
      <c r="D20" s="59">
        <v>13</v>
      </c>
      <c r="E20" s="60"/>
      <c r="F20" s="1"/>
      <c r="G20" s="61" t="s">
        <v>23</v>
      </c>
      <c r="H20" s="62"/>
      <c r="I20" s="62"/>
      <c r="J20" s="62"/>
      <c r="K20" s="2">
        <f>+D20-D19</f>
        <v>-1.4000000000000004</v>
      </c>
    </row>
    <row r="21" spans="2:11">
      <c r="B21" s="59" t="s">
        <v>15</v>
      </c>
      <c r="C21" s="60"/>
      <c r="D21" s="59">
        <v>39.49</v>
      </c>
      <c r="E21" s="60"/>
      <c r="F21" s="1"/>
      <c r="G21" s="61" t="s">
        <v>24</v>
      </c>
      <c r="H21" s="62"/>
      <c r="I21" s="62"/>
      <c r="J21" s="62"/>
      <c r="K21" s="2">
        <f>+D21/100</f>
        <v>0.39490000000000003</v>
      </c>
    </row>
    <row r="22" spans="2:11">
      <c r="B22" s="63" t="s">
        <v>16</v>
      </c>
      <c r="C22" s="64"/>
      <c r="D22" s="63">
        <v>2.46</v>
      </c>
      <c r="E22" s="64"/>
      <c r="F22" s="1"/>
      <c r="G22" s="65" t="s">
        <v>25</v>
      </c>
      <c r="H22" s="66"/>
      <c r="I22" s="66"/>
      <c r="J22" s="66"/>
      <c r="K22" s="3">
        <f>+D22</f>
        <v>2.46</v>
      </c>
    </row>
    <row r="24" spans="2:11">
      <c r="B24" t="s">
        <v>39</v>
      </c>
    </row>
    <row r="25" spans="2:11">
      <c r="B25" t="s">
        <v>28</v>
      </c>
      <c r="F25" t="s">
        <v>27</v>
      </c>
      <c r="G25" s="24">
        <f>+ROUND(((K19/(K19-K20))*K21)+K22+(K21/2),2)</f>
        <v>2.63</v>
      </c>
    </row>
    <row r="26" spans="2:11">
      <c r="B26" t="s">
        <v>29</v>
      </c>
    </row>
    <row r="27" spans="2:11">
      <c r="B27" s="34" t="s">
        <v>32</v>
      </c>
      <c r="C27" s="35"/>
      <c r="D27" s="35"/>
      <c r="E27" s="35"/>
      <c r="F27" s="36"/>
      <c r="G27" s="34" t="s">
        <v>26</v>
      </c>
      <c r="H27" s="35"/>
      <c r="I27" s="40"/>
      <c r="J27" s="41" t="s">
        <v>37</v>
      </c>
      <c r="K27" s="40"/>
    </row>
    <row r="28" spans="2:11">
      <c r="B28" s="37"/>
      <c r="C28" s="38"/>
      <c r="D28" s="38"/>
      <c r="E28" s="38"/>
      <c r="F28" s="39"/>
      <c r="G28" s="30" t="s">
        <v>34</v>
      </c>
      <c r="H28" s="31" t="s">
        <v>35</v>
      </c>
      <c r="I28" s="32" t="s">
        <v>36</v>
      </c>
      <c r="J28" s="42"/>
      <c r="K28" s="43"/>
    </row>
    <row r="29" spans="2:11">
      <c r="B29" s="29" t="s">
        <v>30</v>
      </c>
      <c r="C29" s="16"/>
      <c r="D29" s="16"/>
      <c r="E29" s="16"/>
      <c r="F29" s="17"/>
      <c r="G29" s="44" t="str">
        <f>+IF(K19&gt;0,"+","-")</f>
        <v>-</v>
      </c>
      <c r="H29" s="47" t="str">
        <f>+IF(K20&gt;0,"+","-")</f>
        <v>-</v>
      </c>
      <c r="I29" s="75">
        <f>+K19/K20</f>
        <v>7.1428571428571161E-2</v>
      </c>
      <c r="J29" s="53" t="str">
        <f>+IF(G29=H29,IF(I29&lt;2,IF(I29&gt;0.5,"재시험","적정"),"적정"),"적정")</f>
        <v>적정</v>
      </c>
      <c r="K29" s="54"/>
    </row>
    <row r="30" spans="2:11">
      <c r="B30" s="6" t="s">
        <v>31</v>
      </c>
      <c r="C30" s="5"/>
      <c r="D30" s="5"/>
      <c r="E30" s="5"/>
      <c r="F30" s="12"/>
      <c r="G30" s="45"/>
      <c r="H30" s="48"/>
      <c r="I30" s="76"/>
      <c r="J30" s="55"/>
      <c r="K30" s="56"/>
    </row>
    <row r="31" spans="2:11">
      <c r="B31" s="7" t="s">
        <v>33</v>
      </c>
      <c r="C31" s="8"/>
      <c r="D31" s="8"/>
      <c r="E31" s="8"/>
      <c r="F31" s="13"/>
      <c r="G31" s="46"/>
      <c r="H31" s="49"/>
      <c r="I31" s="77"/>
      <c r="J31" s="57"/>
      <c r="K31" s="58"/>
    </row>
    <row r="33" spans="2:11">
      <c r="B33" s="14" t="s">
        <v>38</v>
      </c>
    </row>
    <row r="34" spans="2:11">
      <c r="B34" s="67" t="s">
        <v>4</v>
      </c>
      <c r="C34" s="68"/>
      <c r="D34" s="67" t="s">
        <v>14</v>
      </c>
      <c r="E34" s="68"/>
      <c r="F34" s="1"/>
      <c r="G34" s="67" t="s">
        <v>4</v>
      </c>
      <c r="H34" s="69"/>
      <c r="I34" s="69"/>
      <c r="J34" s="69"/>
      <c r="K34" s="15" t="s">
        <v>26</v>
      </c>
    </row>
    <row r="35" spans="2:11">
      <c r="B35" s="70" t="s">
        <v>20</v>
      </c>
      <c r="C35" s="22" t="s">
        <v>17</v>
      </c>
      <c r="D35" s="71">
        <v>14.1</v>
      </c>
      <c r="E35" s="72"/>
      <c r="F35" s="1"/>
      <c r="G35" s="73" t="s">
        <v>21</v>
      </c>
      <c r="H35" s="74"/>
      <c r="I35" s="74"/>
      <c r="J35" s="74"/>
      <c r="K35" s="4">
        <f>ROUND(((K36/(K36-K37))*K38)+K39+(K38/2),2)</f>
        <v>2.68</v>
      </c>
    </row>
    <row r="36" spans="2:11">
      <c r="B36" s="59"/>
      <c r="C36" s="33" t="s">
        <v>18</v>
      </c>
      <c r="D36" s="59">
        <v>13.8</v>
      </c>
      <c r="E36" s="60"/>
      <c r="F36" s="1"/>
      <c r="G36" s="61" t="s">
        <v>22</v>
      </c>
      <c r="H36" s="62"/>
      <c r="I36" s="62"/>
      <c r="J36" s="62"/>
      <c r="K36" s="2">
        <f>+D36-D35</f>
        <v>-0.29999999999999893</v>
      </c>
    </row>
    <row r="37" spans="2:11">
      <c r="B37" s="59"/>
      <c r="C37" s="33" t="s">
        <v>19</v>
      </c>
      <c r="D37" s="59">
        <v>12.3</v>
      </c>
      <c r="E37" s="60"/>
      <c r="F37" s="1"/>
      <c r="G37" s="61" t="s">
        <v>23</v>
      </c>
      <c r="H37" s="62"/>
      <c r="I37" s="62"/>
      <c r="J37" s="62"/>
      <c r="K37" s="2">
        <f>+D37-D36</f>
        <v>-1.5</v>
      </c>
    </row>
    <row r="38" spans="2:11">
      <c r="B38" s="59" t="s">
        <v>15</v>
      </c>
      <c r="C38" s="60"/>
      <c r="D38" s="59">
        <v>39.49</v>
      </c>
      <c r="E38" s="60"/>
      <c r="F38" s="1"/>
      <c r="G38" s="61" t="s">
        <v>24</v>
      </c>
      <c r="H38" s="62"/>
      <c r="I38" s="62"/>
      <c r="J38" s="62"/>
      <c r="K38" s="2">
        <f>+D38/100</f>
        <v>0.39490000000000003</v>
      </c>
    </row>
    <row r="39" spans="2:11">
      <c r="B39" s="63" t="s">
        <v>16</v>
      </c>
      <c r="C39" s="64"/>
      <c r="D39" s="63">
        <v>2.58</v>
      </c>
      <c r="E39" s="64"/>
      <c r="F39" s="1"/>
      <c r="G39" s="65" t="s">
        <v>25</v>
      </c>
      <c r="H39" s="66"/>
      <c r="I39" s="66"/>
      <c r="J39" s="66"/>
      <c r="K39" s="3">
        <f>+D39</f>
        <v>2.58</v>
      </c>
    </row>
    <row r="41" spans="2:11">
      <c r="B41" t="s">
        <v>39</v>
      </c>
    </row>
    <row r="42" spans="2:11">
      <c r="B42" t="s">
        <v>28</v>
      </c>
      <c r="F42" t="s">
        <v>27</v>
      </c>
      <c r="G42" s="24">
        <f>+ROUND(((K36/(K36-K37))*K38)+K39+(K38/2),2)</f>
        <v>2.68</v>
      </c>
    </row>
    <row r="43" spans="2:11">
      <c r="B43" t="s">
        <v>29</v>
      </c>
    </row>
    <row r="44" spans="2:11">
      <c r="B44" s="34" t="s">
        <v>32</v>
      </c>
      <c r="C44" s="35"/>
      <c r="D44" s="35"/>
      <c r="E44" s="35"/>
      <c r="F44" s="36"/>
      <c r="G44" s="34" t="s">
        <v>26</v>
      </c>
      <c r="H44" s="35"/>
      <c r="I44" s="40"/>
      <c r="J44" s="41" t="s">
        <v>37</v>
      </c>
      <c r="K44" s="40"/>
    </row>
    <row r="45" spans="2:11">
      <c r="B45" s="37"/>
      <c r="C45" s="38"/>
      <c r="D45" s="38"/>
      <c r="E45" s="38"/>
      <c r="F45" s="39"/>
      <c r="G45" s="30" t="s">
        <v>34</v>
      </c>
      <c r="H45" s="31" t="s">
        <v>35</v>
      </c>
      <c r="I45" s="32" t="s">
        <v>36</v>
      </c>
      <c r="J45" s="42"/>
      <c r="K45" s="43"/>
    </row>
    <row r="46" spans="2:11">
      <c r="B46" s="9" t="s">
        <v>30</v>
      </c>
      <c r="C46" s="10"/>
      <c r="D46" s="10"/>
      <c r="E46" s="10"/>
      <c r="F46" s="11"/>
      <c r="G46" s="44" t="str">
        <f>+IF(K36&gt;0,"+","-")</f>
        <v>-</v>
      </c>
      <c r="H46" s="47" t="str">
        <f>+IF(K37&gt;0,"+","-")</f>
        <v>-</v>
      </c>
      <c r="I46" s="50">
        <f>ROUND(K36/K37,2)</f>
        <v>0.2</v>
      </c>
      <c r="J46" s="53" t="str">
        <f>+IF(G46=H46,IF(I46&lt;2,IF(I46&gt;0.5,"재시험","적정"),"적정"),"적정")</f>
        <v>적정</v>
      </c>
      <c r="K46" s="54"/>
    </row>
    <row r="47" spans="2:11">
      <c r="B47" s="6" t="s">
        <v>31</v>
      </c>
      <c r="C47" s="5"/>
      <c r="D47" s="5"/>
      <c r="E47" s="5"/>
      <c r="F47" s="12"/>
      <c r="G47" s="45"/>
      <c r="H47" s="48"/>
      <c r="I47" s="51"/>
      <c r="J47" s="55"/>
      <c r="K47" s="56"/>
    </row>
    <row r="48" spans="2:11">
      <c r="B48" s="7" t="s">
        <v>33</v>
      </c>
      <c r="C48" s="8"/>
      <c r="D48" s="8"/>
      <c r="E48" s="8"/>
      <c r="F48" s="13"/>
      <c r="G48" s="46"/>
      <c r="H48" s="49"/>
      <c r="I48" s="52"/>
      <c r="J48" s="57"/>
      <c r="K48" s="58"/>
    </row>
    <row r="51" spans="2:11">
      <c r="B51" s="14" t="s">
        <v>41</v>
      </c>
    </row>
    <row r="52" spans="2:11">
      <c r="B52" s="67" t="s">
        <v>4</v>
      </c>
      <c r="C52" s="68"/>
      <c r="D52" s="67" t="s">
        <v>14</v>
      </c>
      <c r="E52" s="68"/>
      <c r="F52" s="1"/>
      <c r="G52" s="67" t="s">
        <v>4</v>
      </c>
      <c r="H52" s="69"/>
      <c r="I52" s="69"/>
      <c r="J52" s="69"/>
      <c r="K52" s="15" t="s">
        <v>26</v>
      </c>
    </row>
    <row r="53" spans="2:11">
      <c r="B53" s="70" t="s">
        <v>20</v>
      </c>
      <c r="C53" s="22" t="s">
        <v>17</v>
      </c>
      <c r="D53" s="71"/>
      <c r="E53" s="72"/>
      <c r="F53" s="1"/>
      <c r="G53" s="73" t="s">
        <v>21</v>
      </c>
      <c r="H53" s="74"/>
      <c r="I53" s="74"/>
      <c r="J53" s="74"/>
      <c r="K53" s="4" t="e">
        <f>+ROUND(((K54/(K54-K55))*K56)+K57+(K56/2),2)</f>
        <v>#DIV/0!</v>
      </c>
    </row>
    <row r="54" spans="2:11">
      <c r="B54" s="59"/>
      <c r="C54" s="33" t="s">
        <v>18</v>
      </c>
      <c r="D54" s="59"/>
      <c r="E54" s="60"/>
      <c r="F54" s="1"/>
      <c r="G54" s="61" t="s">
        <v>22</v>
      </c>
      <c r="H54" s="62"/>
      <c r="I54" s="62"/>
      <c r="J54" s="62"/>
      <c r="K54" s="2">
        <f>+D54-D53</f>
        <v>0</v>
      </c>
    </row>
    <row r="55" spans="2:11">
      <c r="B55" s="59"/>
      <c r="C55" s="33" t="s">
        <v>19</v>
      </c>
      <c r="D55" s="59"/>
      <c r="E55" s="60"/>
      <c r="F55" s="1"/>
      <c r="G55" s="61" t="s">
        <v>23</v>
      </c>
      <c r="H55" s="62"/>
      <c r="I55" s="62"/>
      <c r="J55" s="62"/>
      <c r="K55" s="2">
        <f>+D55-D54</f>
        <v>0</v>
      </c>
    </row>
    <row r="56" spans="2:11">
      <c r="B56" s="59" t="s">
        <v>15</v>
      </c>
      <c r="C56" s="60"/>
      <c r="D56" s="59">
        <f>D21</f>
        <v>39.49</v>
      </c>
      <c r="E56" s="60"/>
      <c r="F56" s="1"/>
      <c r="G56" s="61" t="s">
        <v>24</v>
      </c>
      <c r="H56" s="62"/>
      <c r="I56" s="62"/>
      <c r="J56" s="62"/>
      <c r="K56" s="2">
        <f>+D56/100</f>
        <v>0.39490000000000003</v>
      </c>
    </row>
    <row r="57" spans="2:11">
      <c r="B57" s="63" t="s">
        <v>16</v>
      </c>
      <c r="C57" s="64"/>
      <c r="D57" s="63">
        <f>+D39</f>
        <v>2.58</v>
      </c>
      <c r="E57" s="64"/>
      <c r="F57" s="1"/>
      <c r="G57" s="65" t="s">
        <v>25</v>
      </c>
      <c r="H57" s="66"/>
      <c r="I57" s="66"/>
      <c r="J57" s="66"/>
      <c r="K57" s="3">
        <f>+D57</f>
        <v>2.58</v>
      </c>
    </row>
    <row r="59" spans="2:11">
      <c r="B59" t="s">
        <v>39</v>
      </c>
    </row>
    <row r="60" spans="2:11">
      <c r="B60" t="s">
        <v>28</v>
      </c>
      <c r="F60" t="s">
        <v>27</v>
      </c>
      <c r="G60" s="24" t="e">
        <f>+ROUND(((K54/(K54-K55))*K56)+K57+(K56/2),2)</f>
        <v>#DIV/0!</v>
      </c>
    </row>
    <row r="61" spans="2:11">
      <c r="B61" t="s">
        <v>29</v>
      </c>
    </row>
    <row r="62" spans="2:11">
      <c r="B62" s="34" t="s">
        <v>32</v>
      </c>
      <c r="C62" s="35"/>
      <c r="D62" s="35"/>
      <c r="E62" s="35"/>
      <c r="F62" s="36"/>
      <c r="G62" s="34" t="s">
        <v>26</v>
      </c>
      <c r="H62" s="35"/>
      <c r="I62" s="40"/>
      <c r="J62" s="41" t="s">
        <v>37</v>
      </c>
      <c r="K62" s="40"/>
    </row>
    <row r="63" spans="2:11">
      <c r="B63" s="37"/>
      <c r="C63" s="38"/>
      <c r="D63" s="38"/>
      <c r="E63" s="38"/>
      <c r="F63" s="39"/>
      <c r="G63" s="30" t="s">
        <v>34</v>
      </c>
      <c r="H63" s="31" t="s">
        <v>35</v>
      </c>
      <c r="I63" s="32" t="s">
        <v>36</v>
      </c>
      <c r="J63" s="42"/>
      <c r="K63" s="43"/>
    </row>
    <row r="64" spans="2:11">
      <c r="B64" s="9" t="s">
        <v>30</v>
      </c>
      <c r="C64" s="10"/>
      <c r="D64" s="10"/>
      <c r="E64" s="10"/>
      <c r="F64" s="11"/>
      <c r="G64" s="44" t="str">
        <f>+IF(K54&gt;0,"+","-")</f>
        <v>-</v>
      </c>
      <c r="H64" s="47" t="str">
        <f>+IF(K55&gt;0,"+","-")</f>
        <v>-</v>
      </c>
      <c r="I64" s="50" t="e">
        <f>ROUND(+K54/K55,2)</f>
        <v>#DIV/0!</v>
      </c>
      <c r="J64" s="53" t="e">
        <f>+IF(G64=H64,IF(I64&lt;2,IF(I64&gt;0.5,"재시험","적정"),"적정"),"적정")</f>
        <v>#DIV/0!</v>
      </c>
      <c r="K64" s="54"/>
    </row>
    <row r="65" spans="1:11">
      <c r="B65" s="6" t="s">
        <v>31</v>
      </c>
      <c r="C65" s="5"/>
      <c r="D65" s="5"/>
      <c r="E65" s="5"/>
      <c r="F65" s="12"/>
      <c r="G65" s="45"/>
      <c r="H65" s="48"/>
      <c r="I65" s="51"/>
      <c r="J65" s="55"/>
      <c r="K65" s="56"/>
    </row>
    <row r="66" spans="1:11">
      <c r="B66" s="7" t="s">
        <v>33</v>
      </c>
      <c r="C66" s="8"/>
      <c r="D66" s="8"/>
      <c r="E66" s="8"/>
      <c r="F66" s="13"/>
      <c r="G66" s="46"/>
      <c r="H66" s="49"/>
      <c r="I66" s="52"/>
      <c r="J66" s="57"/>
      <c r="K66" s="58"/>
    </row>
    <row r="68" spans="1:11">
      <c r="A68" s="14" t="s">
        <v>40</v>
      </c>
    </row>
    <row r="69" spans="1:11">
      <c r="B69" t="s">
        <v>55</v>
      </c>
    </row>
    <row r="70" spans="1:11">
      <c r="B70" t="s">
        <v>56</v>
      </c>
    </row>
    <row r="71" spans="1:11">
      <c r="B71" t="s">
        <v>54</v>
      </c>
    </row>
  </sheetData>
  <mergeCells count="87">
    <mergeCell ref="A1:K1"/>
    <mergeCell ref="I2:K2"/>
    <mergeCell ref="B10:C10"/>
    <mergeCell ref="D10:E10"/>
    <mergeCell ref="F10:G10"/>
    <mergeCell ref="H10:I10"/>
    <mergeCell ref="B11:C11"/>
    <mergeCell ref="D11:E11"/>
    <mergeCell ref="F11:G11"/>
    <mergeCell ref="H11:I11"/>
    <mergeCell ref="B12:C12"/>
    <mergeCell ref="D12:E12"/>
    <mergeCell ref="F12:G12"/>
    <mergeCell ref="H12:I12"/>
    <mergeCell ref="B13:C13"/>
    <mergeCell ref="D13:E13"/>
    <mergeCell ref="F13:G13"/>
    <mergeCell ref="H13:I13"/>
    <mergeCell ref="B17:C17"/>
    <mergeCell ref="D17:E17"/>
    <mergeCell ref="G17:J17"/>
    <mergeCell ref="B18:B20"/>
    <mergeCell ref="D18:E18"/>
    <mergeCell ref="G18:J18"/>
    <mergeCell ref="D19:E19"/>
    <mergeCell ref="G19:J19"/>
    <mergeCell ref="D20:E20"/>
    <mergeCell ref="G20:J20"/>
    <mergeCell ref="B21:C21"/>
    <mergeCell ref="D21:E21"/>
    <mergeCell ref="G21:J21"/>
    <mergeCell ref="B22:C22"/>
    <mergeCell ref="D22:E22"/>
    <mergeCell ref="G22:J22"/>
    <mergeCell ref="B27:F28"/>
    <mergeCell ref="G27:I27"/>
    <mergeCell ref="J27:K28"/>
    <mergeCell ref="G29:G31"/>
    <mergeCell ref="H29:H31"/>
    <mergeCell ref="I29:I31"/>
    <mergeCell ref="J29:K31"/>
    <mergeCell ref="B34:C34"/>
    <mergeCell ref="D34:E34"/>
    <mergeCell ref="G34:J34"/>
    <mergeCell ref="B35:B37"/>
    <mergeCell ref="D35:E35"/>
    <mergeCell ref="G35:J35"/>
    <mergeCell ref="D36:E36"/>
    <mergeCell ref="G36:J36"/>
    <mergeCell ref="D37:E37"/>
    <mergeCell ref="G37:J37"/>
    <mergeCell ref="B38:C38"/>
    <mergeCell ref="D38:E38"/>
    <mergeCell ref="G38:J38"/>
    <mergeCell ref="B39:C39"/>
    <mergeCell ref="D39:E39"/>
    <mergeCell ref="G39:J39"/>
    <mergeCell ref="B44:F45"/>
    <mergeCell ref="G44:I44"/>
    <mergeCell ref="J44:K45"/>
    <mergeCell ref="G46:G48"/>
    <mergeCell ref="H46:H48"/>
    <mergeCell ref="I46:I48"/>
    <mergeCell ref="J46:K48"/>
    <mergeCell ref="B52:C52"/>
    <mergeCell ref="D52:E52"/>
    <mergeCell ref="G52:J52"/>
    <mergeCell ref="B53:B55"/>
    <mergeCell ref="D53:E53"/>
    <mergeCell ref="G53:J53"/>
    <mergeCell ref="D54:E54"/>
    <mergeCell ref="G54:J54"/>
    <mergeCell ref="D55:E55"/>
    <mergeCell ref="G55:J55"/>
    <mergeCell ref="B56:C56"/>
    <mergeCell ref="D56:E56"/>
    <mergeCell ref="G56:J56"/>
    <mergeCell ref="B57:C57"/>
    <mergeCell ref="D57:E57"/>
    <mergeCell ref="G57:J57"/>
    <mergeCell ref="B62:F63"/>
    <mergeCell ref="G62:I62"/>
    <mergeCell ref="J62:K63"/>
    <mergeCell ref="G64:G66"/>
    <mergeCell ref="H64:H66"/>
    <mergeCell ref="I64:I66"/>
    <mergeCell ref="J64:K66"/>
  </mergeCells>
  <phoneticPr fontId="2" type="noConversion"/>
  <printOptions horizontalCentered="1"/>
  <pageMargins left="0.19685039370078741" right="0.19685039370078741" top="0.78740157480314965" bottom="0.39370078740157483" header="0.31496062992125984" footer="0.31496062992125984"/>
  <pageSetup paperSize="9" scale="99" fitToHeight="4" orientation="portrait" r:id="rId1"/>
  <rowBreaks count="1" manualBreakCount="1">
    <brk id="43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1"/>
  <sheetViews>
    <sheetView view="pageBreakPreview" zoomScaleNormal="100" zoomScaleSheetLayoutView="100" workbookViewId="0">
      <selection activeCell="D12" sqref="D12:G13"/>
    </sheetView>
  </sheetViews>
  <sheetFormatPr defaultRowHeight="16.5"/>
  <cols>
    <col min="1" max="1" width="2.625" customWidth="1"/>
  </cols>
  <sheetData>
    <row r="1" spans="1:11" ht="20.25">
      <c r="A1" s="86" t="s">
        <v>44</v>
      </c>
      <c r="B1" s="86"/>
      <c r="C1" s="86"/>
      <c r="D1" s="86"/>
      <c r="E1" s="86"/>
      <c r="F1" s="86"/>
      <c r="G1" s="86"/>
      <c r="H1" s="86"/>
      <c r="I1" s="86"/>
      <c r="J1" s="86"/>
      <c r="K1" s="86"/>
    </row>
    <row r="2" spans="1:11">
      <c r="I2" s="87" t="s">
        <v>43</v>
      </c>
      <c r="J2" s="87"/>
      <c r="K2" s="87"/>
    </row>
    <row r="4" spans="1:11">
      <c r="A4" s="18" t="s">
        <v>42</v>
      </c>
    </row>
    <row r="5" spans="1:11">
      <c r="A5" t="s">
        <v>0</v>
      </c>
    </row>
    <row r="7" spans="1:11">
      <c r="A7" s="14" t="s">
        <v>1</v>
      </c>
    </row>
    <row r="8" spans="1:11">
      <c r="A8" t="s">
        <v>2</v>
      </c>
    </row>
    <row r="9" spans="1:11">
      <c r="A9" t="s">
        <v>3</v>
      </c>
    </row>
    <row r="10" spans="1:11">
      <c r="B10" s="88" t="s">
        <v>4</v>
      </c>
      <c r="C10" s="89"/>
      <c r="D10" s="88" t="s">
        <v>8</v>
      </c>
      <c r="E10" s="90"/>
      <c r="F10" s="90" t="s">
        <v>9</v>
      </c>
      <c r="G10" s="90"/>
      <c r="H10" s="90" t="s">
        <v>10</v>
      </c>
      <c r="I10" s="91"/>
    </row>
    <row r="11" spans="1:11">
      <c r="B11" s="80" t="s">
        <v>5</v>
      </c>
      <c r="C11" s="81"/>
      <c r="D11" s="80">
        <v>500</v>
      </c>
      <c r="E11" s="82"/>
      <c r="F11" s="82" t="s">
        <v>11</v>
      </c>
      <c r="G11" s="82"/>
      <c r="H11" s="82">
        <v>1350</v>
      </c>
      <c r="I11" s="83"/>
    </row>
    <row r="12" spans="1:11">
      <c r="B12" s="59" t="s">
        <v>6</v>
      </c>
      <c r="C12" s="60"/>
      <c r="D12" s="59">
        <v>495</v>
      </c>
      <c r="E12" s="84"/>
      <c r="F12" s="84">
        <v>5</v>
      </c>
      <c r="G12" s="84"/>
      <c r="H12" s="84">
        <v>1350</v>
      </c>
      <c r="I12" s="85"/>
    </row>
    <row r="13" spans="1:11">
      <c r="B13" s="63" t="s">
        <v>7</v>
      </c>
      <c r="C13" s="64"/>
      <c r="D13" s="63">
        <v>490</v>
      </c>
      <c r="E13" s="78"/>
      <c r="F13" s="78">
        <v>10</v>
      </c>
      <c r="G13" s="78"/>
      <c r="H13" s="78">
        <v>1350</v>
      </c>
      <c r="I13" s="79"/>
    </row>
    <row r="15" spans="1:11">
      <c r="A15" t="s">
        <v>12</v>
      </c>
    </row>
    <row r="16" spans="1:11">
      <c r="B16" s="14" t="s">
        <v>13</v>
      </c>
    </row>
    <row r="17" spans="2:11">
      <c r="B17" s="67" t="s">
        <v>4</v>
      </c>
      <c r="C17" s="68"/>
      <c r="D17" s="67" t="s">
        <v>14</v>
      </c>
      <c r="E17" s="68"/>
      <c r="F17" s="1"/>
      <c r="G17" s="67" t="s">
        <v>4</v>
      </c>
      <c r="H17" s="69"/>
      <c r="I17" s="69"/>
      <c r="J17" s="69"/>
      <c r="K17" s="15" t="s">
        <v>26</v>
      </c>
    </row>
    <row r="18" spans="2:11">
      <c r="B18" s="70" t="s">
        <v>20</v>
      </c>
      <c r="C18" s="22" t="s">
        <v>17</v>
      </c>
      <c r="D18" s="71">
        <v>13.4</v>
      </c>
      <c r="E18" s="72"/>
      <c r="F18" s="1"/>
      <c r="G18" s="73" t="s">
        <v>21</v>
      </c>
      <c r="H18" s="74"/>
      <c r="I18" s="74"/>
      <c r="J18" s="74"/>
      <c r="K18" s="4">
        <f>+ROUND(((K19/(K19-K20))*K21)+K22+(K21/2),2)</f>
        <v>2.71</v>
      </c>
    </row>
    <row r="19" spans="2:11">
      <c r="B19" s="59"/>
      <c r="C19" s="23" t="s">
        <v>18</v>
      </c>
      <c r="D19" s="59">
        <v>13.4</v>
      </c>
      <c r="E19" s="60"/>
      <c r="F19" s="1"/>
      <c r="G19" s="61" t="s">
        <v>22</v>
      </c>
      <c r="H19" s="62"/>
      <c r="I19" s="62"/>
      <c r="J19" s="62"/>
      <c r="K19" s="2">
        <f>+D19-D18</f>
        <v>0</v>
      </c>
    </row>
    <row r="20" spans="2:11">
      <c r="B20" s="59"/>
      <c r="C20" s="23" t="s">
        <v>19</v>
      </c>
      <c r="D20" s="59">
        <v>13.1</v>
      </c>
      <c r="E20" s="60"/>
      <c r="F20" s="1"/>
      <c r="G20" s="61" t="s">
        <v>23</v>
      </c>
      <c r="H20" s="62"/>
      <c r="I20" s="62"/>
      <c r="J20" s="62"/>
      <c r="K20" s="2">
        <f>+D20-D19</f>
        <v>-0.30000000000000071</v>
      </c>
    </row>
    <row r="21" spans="2:11">
      <c r="B21" s="59" t="s">
        <v>15</v>
      </c>
      <c r="C21" s="60"/>
      <c r="D21" s="59">
        <v>39.49</v>
      </c>
      <c r="E21" s="60"/>
      <c r="F21" s="1"/>
      <c r="G21" s="61" t="s">
        <v>24</v>
      </c>
      <c r="H21" s="62"/>
      <c r="I21" s="62"/>
      <c r="J21" s="62"/>
      <c r="K21" s="2">
        <f>+D21/100</f>
        <v>0.39490000000000003</v>
      </c>
    </row>
    <row r="22" spans="2:11">
      <c r="B22" s="63" t="s">
        <v>16</v>
      </c>
      <c r="C22" s="64"/>
      <c r="D22" s="63">
        <v>2.5099999999999998</v>
      </c>
      <c r="E22" s="64"/>
      <c r="F22" s="1"/>
      <c r="G22" s="65" t="s">
        <v>25</v>
      </c>
      <c r="H22" s="66"/>
      <c r="I22" s="66"/>
      <c r="J22" s="66"/>
      <c r="K22" s="3">
        <f>+D22</f>
        <v>2.5099999999999998</v>
      </c>
    </row>
    <row r="24" spans="2:11">
      <c r="B24" t="s">
        <v>39</v>
      </c>
    </row>
    <row r="25" spans="2:11">
      <c r="B25" t="s">
        <v>28</v>
      </c>
      <c r="F25" t="s">
        <v>27</v>
      </c>
      <c r="G25" s="24">
        <f>+ROUND(((K19/(K19-K20))*K21)+K22+(K21/2),2)</f>
        <v>2.71</v>
      </c>
    </row>
    <row r="26" spans="2:11">
      <c r="B26" t="s">
        <v>29</v>
      </c>
    </row>
    <row r="27" spans="2:11">
      <c r="B27" s="34" t="s">
        <v>32</v>
      </c>
      <c r="C27" s="35"/>
      <c r="D27" s="35"/>
      <c r="E27" s="35"/>
      <c r="F27" s="36"/>
      <c r="G27" s="34" t="s">
        <v>26</v>
      </c>
      <c r="H27" s="35"/>
      <c r="I27" s="40"/>
      <c r="J27" s="41" t="s">
        <v>37</v>
      </c>
      <c r="K27" s="40"/>
    </row>
    <row r="28" spans="2:11">
      <c r="B28" s="37"/>
      <c r="C28" s="38"/>
      <c r="D28" s="38"/>
      <c r="E28" s="38"/>
      <c r="F28" s="39"/>
      <c r="G28" s="19" t="s">
        <v>34</v>
      </c>
      <c r="H28" s="20" t="s">
        <v>35</v>
      </c>
      <c r="I28" s="21" t="s">
        <v>36</v>
      </c>
      <c r="J28" s="42"/>
      <c r="K28" s="43"/>
    </row>
    <row r="29" spans="2:11">
      <c r="B29" s="29" t="s">
        <v>30</v>
      </c>
      <c r="C29" s="16"/>
      <c r="D29" s="16"/>
      <c r="E29" s="16"/>
      <c r="F29" s="17"/>
      <c r="G29" s="44" t="str">
        <f>+IF(K19&gt;0,"+","-")</f>
        <v>-</v>
      </c>
      <c r="H29" s="47" t="str">
        <f>+IF(K20&gt;0,"+","-")</f>
        <v>-</v>
      </c>
      <c r="I29" s="75">
        <f>+K19/K20</f>
        <v>0</v>
      </c>
      <c r="J29" s="53" t="str">
        <f>+IF(G29=H29,IF(I29&lt;2,IF(I29&gt;0.5,"재시험","적정"),"적정"),"적정")</f>
        <v>적정</v>
      </c>
      <c r="K29" s="54"/>
    </row>
    <row r="30" spans="2:11">
      <c r="B30" s="6" t="s">
        <v>31</v>
      </c>
      <c r="C30" s="5"/>
      <c r="D30" s="5"/>
      <c r="E30" s="5"/>
      <c r="F30" s="12"/>
      <c r="G30" s="45"/>
      <c r="H30" s="48"/>
      <c r="I30" s="76"/>
      <c r="J30" s="55"/>
      <c r="K30" s="56"/>
    </row>
    <row r="31" spans="2:11">
      <c r="B31" s="7" t="s">
        <v>33</v>
      </c>
      <c r="C31" s="8"/>
      <c r="D31" s="8"/>
      <c r="E31" s="8"/>
      <c r="F31" s="13"/>
      <c r="G31" s="46"/>
      <c r="H31" s="49"/>
      <c r="I31" s="77"/>
      <c r="J31" s="57"/>
      <c r="K31" s="58"/>
    </row>
    <row r="33" spans="2:11">
      <c r="B33" s="14" t="s">
        <v>38</v>
      </c>
    </row>
    <row r="34" spans="2:11">
      <c r="B34" s="67" t="s">
        <v>4</v>
      </c>
      <c r="C34" s="68"/>
      <c r="D34" s="67" t="s">
        <v>14</v>
      </c>
      <c r="E34" s="68"/>
      <c r="F34" s="1"/>
      <c r="G34" s="67" t="s">
        <v>4</v>
      </c>
      <c r="H34" s="69"/>
      <c r="I34" s="69"/>
      <c r="J34" s="69"/>
      <c r="K34" s="15" t="s">
        <v>26</v>
      </c>
    </row>
    <row r="35" spans="2:11">
      <c r="B35" s="70" t="s">
        <v>20</v>
      </c>
      <c r="C35" s="22" t="s">
        <v>17</v>
      </c>
      <c r="D35" s="71">
        <v>13.2</v>
      </c>
      <c r="E35" s="72"/>
      <c r="F35" s="1"/>
      <c r="G35" s="73" t="s">
        <v>21</v>
      </c>
      <c r="H35" s="74"/>
      <c r="I35" s="74"/>
      <c r="J35" s="74"/>
      <c r="K35" s="4">
        <f>ROUND(((K36/(K36-K37))*K38)+K39+(K38/2),2)</f>
        <v>2.69</v>
      </c>
    </row>
    <row r="36" spans="2:11">
      <c r="B36" s="59"/>
      <c r="C36" s="23" t="s">
        <v>18</v>
      </c>
      <c r="D36" s="59">
        <v>13.1</v>
      </c>
      <c r="E36" s="60"/>
      <c r="F36" s="1"/>
      <c r="G36" s="61" t="s">
        <v>22</v>
      </c>
      <c r="H36" s="62"/>
      <c r="I36" s="62"/>
      <c r="J36" s="62"/>
      <c r="K36" s="2">
        <f>+D36-D35</f>
        <v>-9.9999999999999645E-2</v>
      </c>
    </row>
    <row r="37" spans="2:11">
      <c r="B37" s="59"/>
      <c r="C37" s="23" t="s">
        <v>19</v>
      </c>
      <c r="D37" s="59">
        <v>11.1</v>
      </c>
      <c r="E37" s="60"/>
      <c r="F37" s="1"/>
      <c r="G37" s="61" t="s">
        <v>23</v>
      </c>
      <c r="H37" s="62"/>
      <c r="I37" s="62"/>
      <c r="J37" s="62"/>
      <c r="K37" s="2">
        <f>+D37-D36</f>
        <v>-2</v>
      </c>
    </row>
    <row r="38" spans="2:11">
      <c r="B38" s="59" t="s">
        <v>15</v>
      </c>
      <c r="C38" s="60"/>
      <c r="D38" s="59">
        <v>39.49</v>
      </c>
      <c r="E38" s="60"/>
      <c r="F38" s="1"/>
      <c r="G38" s="61" t="s">
        <v>24</v>
      </c>
      <c r="H38" s="62"/>
      <c r="I38" s="62"/>
      <c r="J38" s="62"/>
      <c r="K38" s="2">
        <f>+D38/100</f>
        <v>0.39490000000000003</v>
      </c>
    </row>
    <row r="39" spans="2:11">
      <c r="B39" s="63" t="s">
        <v>16</v>
      </c>
      <c r="C39" s="64"/>
      <c r="D39" s="63">
        <f>+D22</f>
        <v>2.5099999999999998</v>
      </c>
      <c r="E39" s="64"/>
      <c r="F39" s="1"/>
      <c r="G39" s="65" t="s">
        <v>25</v>
      </c>
      <c r="H39" s="66"/>
      <c r="I39" s="66"/>
      <c r="J39" s="66"/>
      <c r="K39" s="3">
        <f>+D39</f>
        <v>2.5099999999999998</v>
      </c>
    </row>
    <row r="41" spans="2:11">
      <c r="B41" t="s">
        <v>39</v>
      </c>
    </row>
    <row r="42" spans="2:11">
      <c r="B42" t="s">
        <v>28</v>
      </c>
      <c r="F42" t="s">
        <v>27</v>
      </c>
      <c r="G42" s="24">
        <f>+ROUND(((K36/(K36-K37))*K38)+K39+(K38/2),2)</f>
        <v>2.69</v>
      </c>
    </row>
    <row r="43" spans="2:11">
      <c r="B43" t="s">
        <v>29</v>
      </c>
    </row>
    <row r="44" spans="2:11">
      <c r="B44" s="34" t="s">
        <v>32</v>
      </c>
      <c r="C44" s="35"/>
      <c r="D44" s="35"/>
      <c r="E44" s="35"/>
      <c r="F44" s="36"/>
      <c r="G44" s="34" t="s">
        <v>26</v>
      </c>
      <c r="H44" s="35"/>
      <c r="I44" s="40"/>
      <c r="J44" s="41" t="s">
        <v>37</v>
      </c>
      <c r="K44" s="40"/>
    </row>
    <row r="45" spans="2:11">
      <c r="B45" s="37"/>
      <c r="C45" s="38"/>
      <c r="D45" s="38"/>
      <c r="E45" s="38"/>
      <c r="F45" s="39"/>
      <c r="G45" s="19" t="s">
        <v>34</v>
      </c>
      <c r="H45" s="20" t="s">
        <v>35</v>
      </c>
      <c r="I45" s="21" t="s">
        <v>36</v>
      </c>
      <c r="J45" s="42"/>
      <c r="K45" s="43"/>
    </row>
    <row r="46" spans="2:11">
      <c r="B46" s="9" t="s">
        <v>30</v>
      </c>
      <c r="C46" s="10"/>
      <c r="D46" s="10"/>
      <c r="E46" s="10"/>
      <c r="F46" s="11"/>
      <c r="G46" s="44" t="str">
        <f>+IF(K36&gt;0,"+","-")</f>
        <v>-</v>
      </c>
      <c r="H46" s="47" t="str">
        <f>+IF(K37&gt;0,"+","-")</f>
        <v>-</v>
      </c>
      <c r="I46" s="50">
        <f>ROUND(K36/K37,2)</f>
        <v>0.05</v>
      </c>
      <c r="J46" s="53" t="str">
        <f>+IF(G46=H46,IF(I46&lt;2,IF(I46&gt;0.5,"재시험","적정"),"적정"),"적정")</f>
        <v>적정</v>
      </c>
      <c r="K46" s="54"/>
    </row>
    <row r="47" spans="2:11">
      <c r="B47" s="6" t="s">
        <v>31</v>
      </c>
      <c r="C47" s="5"/>
      <c r="D47" s="5"/>
      <c r="E47" s="5"/>
      <c r="F47" s="12"/>
      <c r="G47" s="45"/>
      <c r="H47" s="48"/>
      <c r="I47" s="51"/>
      <c r="J47" s="55"/>
      <c r="K47" s="56"/>
    </row>
    <row r="48" spans="2:11">
      <c r="B48" s="7" t="s">
        <v>33</v>
      </c>
      <c r="C48" s="8"/>
      <c r="D48" s="8"/>
      <c r="E48" s="8"/>
      <c r="F48" s="13"/>
      <c r="G48" s="46"/>
      <c r="H48" s="49"/>
      <c r="I48" s="52"/>
      <c r="J48" s="57"/>
      <c r="K48" s="58"/>
    </row>
    <row r="51" spans="2:11">
      <c r="B51" s="14" t="s">
        <v>41</v>
      </c>
    </row>
    <row r="52" spans="2:11">
      <c r="B52" s="67" t="s">
        <v>4</v>
      </c>
      <c r="C52" s="68"/>
      <c r="D52" s="67" t="s">
        <v>14</v>
      </c>
      <c r="E52" s="68"/>
      <c r="F52" s="1"/>
      <c r="G52" s="67" t="s">
        <v>4</v>
      </c>
      <c r="H52" s="69"/>
      <c r="I52" s="69"/>
      <c r="J52" s="69"/>
      <c r="K52" s="15" t="s">
        <v>26</v>
      </c>
    </row>
    <row r="53" spans="2:11">
      <c r="B53" s="70" t="s">
        <v>20</v>
      </c>
      <c r="C53" s="22" t="s">
        <v>17</v>
      </c>
      <c r="D53" s="71"/>
      <c r="E53" s="72"/>
      <c r="F53" s="1"/>
      <c r="G53" s="73" t="s">
        <v>21</v>
      </c>
      <c r="H53" s="74"/>
      <c r="I53" s="74"/>
      <c r="J53" s="74"/>
      <c r="K53" s="4" t="e">
        <f>+ROUND(((K54/(K54-K55))*K56)+K57+(K56/2),2)</f>
        <v>#DIV/0!</v>
      </c>
    </row>
    <row r="54" spans="2:11">
      <c r="B54" s="59"/>
      <c r="C54" s="23" t="s">
        <v>18</v>
      </c>
      <c r="D54" s="59"/>
      <c r="E54" s="60"/>
      <c r="F54" s="1"/>
      <c r="G54" s="61" t="s">
        <v>22</v>
      </c>
      <c r="H54" s="62"/>
      <c r="I54" s="62"/>
      <c r="J54" s="62"/>
      <c r="K54" s="2">
        <f>+D54-D53</f>
        <v>0</v>
      </c>
    </row>
    <row r="55" spans="2:11">
      <c r="B55" s="59"/>
      <c r="C55" s="23" t="s">
        <v>19</v>
      </c>
      <c r="D55" s="59"/>
      <c r="E55" s="60"/>
      <c r="F55" s="1"/>
      <c r="G55" s="61" t="s">
        <v>23</v>
      </c>
      <c r="H55" s="62"/>
      <c r="I55" s="62"/>
      <c r="J55" s="62"/>
      <c r="K55" s="2">
        <f>+D55-D54</f>
        <v>0</v>
      </c>
    </row>
    <row r="56" spans="2:11">
      <c r="B56" s="59" t="s">
        <v>15</v>
      </c>
      <c r="C56" s="60"/>
      <c r="D56" s="59">
        <f>D21</f>
        <v>39.49</v>
      </c>
      <c r="E56" s="60"/>
      <c r="F56" s="1"/>
      <c r="G56" s="61" t="s">
        <v>24</v>
      </c>
      <c r="H56" s="62"/>
      <c r="I56" s="62"/>
      <c r="J56" s="62"/>
      <c r="K56" s="2">
        <f>+D56/100</f>
        <v>0.39490000000000003</v>
      </c>
    </row>
    <row r="57" spans="2:11">
      <c r="B57" s="63" t="s">
        <v>16</v>
      </c>
      <c r="C57" s="64"/>
      <c r="D57" s="63">
        <f>+D39</f>
        <v>2.5099999999999998</v>
      </c>
      <c r="E57" s="64"/>
      <c r="F57" s="1"/>
      <c r="G57" s="65" t="s">
        <v>25</v>
      </c>
      <c r="H57" s="66"/>
      <c r="I57" s="66"/>
      <c r="J57" s="66"/>
      <c r="K57" s="3">
        <f>+D57</f>
        <v>2.5099999999999998</v>
      </c>
    </row>
    <row r="59" spans="2:11">
      <c r="B59" t="s">
        <v>39</v>
      </c>
    </row>
    <row r="60" spans="2:11">
      <c r="B60" t="s">
        <v>28</v>
      </c>
      <c r="F60" t="s">
        <v>27</v>
      </c>
      <c r="G60" s="24" t="e">
        <f>+ROUND(((K54/(K54-K55))*K56)+K57+(K56/2),2)</f>
        <v>#DIV/0!</v>
      </c>
    </row>
    <row r="61" spans="2:11">
      <c r="B61" t="s">
        <v>29</v>
      </c>
    </row>
    <row r="62" spans="2:11">
      <c r="B62" s="34" t="s">
        <v>32</v>
      </c>
      <c r="C62" s="35"/>
      <c r="D62" s="35"/>
      <c r="E62" s="35"/>
      <c r="F62" s="36"/>
      <c r="G62" s="34" t="s">
        <v>26</v>
      </c>
      <c r="H62" s="35"/>
      <c r="I62" s="40"/>
      <c r="J62" s="41" t="s">
        <v>37</v>
      </c>
      <c r="K62" s="40"/>
    </row>
    <row r="63" spans="2:11">
      <c r="B63" s="37"/>
      <c r="C63" s="38"/>
      <c r="D63" s="38"/>
      <c r="E63" s="38"/>
      <c r="F63" s="39"/>
      <c r="G63" s="19" t="s">
        <v>34</v>
      </c>
      <c r="H63" s="20" t="s">
        <v>35</v>
      </c>
      <c r="I63" s="21" t="s">
        <v>36</v>
      </c>
      <c r="J63" s="42"/>
      <c r="K63" s="43"/>
    </row>
    <row r="64" spans="2:11">
      <c r="B64" s="9" t="s">
        <v>30</v>
      </c>
      <c r="C64" s="10"/>
      <c r="D64" s="10"/>
      <c r="E64" s="10"/>
      <c r="F64" s="11"/>
      <c r="G64" s="44" t="str">
        <f>+IF(K54&gt;0,"+","-")</f>
        <v>-</v>
      </c>
      <c r="H64" s="47" t="str">
        <f>+IF(K55&gt;0,"+","-")</f>
        <v>-</v>
      </c>
      <c r="I64" s="50" t="e">
        <f>ROUND(+K54/K55,2)</f>
        <v>#DIV/0!</v>
      </c>
      <c r="J64" s="53" t="e">
        <f>+IF(G64=H64,IF(I64&lt;2,IF(I64&gt;0.5,"재시험","적정"),"적정"),"적정")</f>
        <v>#DIV/0!</v>
      </c>
      <c r="K64" s="54"/>
    </row>
    <row r="65" spans="1:11">
      <c r="B65" s="6" t="s">
        <v>31</v>
      </c>
      <c r="C65" s="5"/>
      <c r="D65" s="5"/>
      <c r="E65" s="5"/>
      <c r="F65" s="12"/>
      <c r="G65" s="45"/>
      <c r="H65" s="48"/>
      <c r="I65" s="51"/>
      <c r="J65" s="55"/>
      <c r="K65" s="56"/>
    </row>
    <row r="66" spans="1:11">
      <c r="B66" s="7" t="s">
        <v>33</v>
      </c>
      <c r="C66" s="8"/>
      <c r="D66" s="8"/>
      <c r="E66" s="8"/>
      <c r="F66" s="13"/>
      <c r="G66" s="46"/>
      <c r="H66" s="49"/>
      <c r="I66" s="52"/>
      <c r="J66" s="57"/>
      <c r="K66" s="58"/>
    </row>
    <row r="68" spans="1:11">
      <c r="A68" s="14" t="s">
        <v>40</v>
      </c>
    </row>
    <row r="69" spans="1:11">
      <c r="B69" t="s">
        <v>52</v>
      </c>
    </row>
    <row r="70" spans="1:11">
      <c r="B70" t="s">
        <v>53</v>
      </c>
    </row>
    <row r="71" spans="1:11">
      <c r="B71" t="s">
        <v>45</v>
      </c>
    </row>
  </sheetData>
  <mergeCells count="87">
    <mergeCell ref="B62:F63"/>
    <mergeCell ref="G62:I62"/>
    <mergeCell ref="J62:K63"/>
    <mergeCell ref="G64:G66"/>
    <mergeCell ref="H64:H66"/>
    <mergeCell ref="I64:I66"/>
    <mergeCell ref="J64:K66"/>
    <mergeCell ref="B56:C56"/>
    <mergeCell ref="D56:E56"/>
    <mergeCell ref="G56:J56"/>
    <mergeCell ref="B57:C57"/>
    <mergeCell ref="D57:E57"/>
    <mergeCell ref="G57:J57"/>
    <mergeCell ref="B52:C52"/>
    <mergeCell ref="D52:E52"/>
    <mergeCell ref="G52:J52"/>
    <mergeCell ref="B53:B55"/>
    <mergeCell ref="D53:E53"/>
    <mergeCell ref="G53:J53"/>
    <mergeCell ref="D54:E54"/>
    <mergeCell ref="G54:J54"/>
    <mergeCell ref="D55:E55"/>
    <mergeCell ref="G55:J55"/>
    <mergeCell ref="B44:F45"/>
    <mergeCell ref="G44:I44"/>
    <mergeCell ref="J44:K45"/>
    <mergeCell ref="G46:G48"/>
    <mergeCell ref="H46:H48"/>
    <mergeCell ref="I46:I48"/>
    <mergeCell ref="J46:K48"/>
    <mergeCell ref="B38:C38"/>
    <mergeCell ref="D38:E38"/>
    <mergeCell ref="G38:J38"/>
    <mergeCell ref="B39:C39"/>
    <mergeCell ref="D39:E39"/>
    <mergeCell ref="G39:J39"/>
    <mergeCell ref="B34:C34"/>
    <mergeCell ref="D34:E34"/>
    <mergeCell ref="G34:J34"/>
    <mergeCell ref="B35:B37"/>
    <mergeCell ref="D35:E35"/>
    <mergeCell ref="G35:J35"/>
    <mergeCell ref="D36:E36"/>
    <mergeCell ref="G36:J36"/>
    <mergeCell ref="D37:E37"/>
    <mergeCell ref="G37:J37"/>
    <mergeCell ref="B27:F28"/>
    <mergeCell ref="G27:I27"/>
    <mergeCell ref="J27:K28"/>
    <mergeCell ref="G29:G31"/>
    <mergeCell ref="H29:H31"/>
    <mergeCell ref="I29:I31"/>
    <mergeCell ref="J29:K31"/>
    <mergeCell ref="B21:C21"/>
    <mergeCell ref="D21:E21"/>
    <mergeCell ref="G21:J21"/>
    <mergeCell ref="B22:C22"/>
    <mergeCell ref="D22:E22"/>
    <mergeCell ref="G22:J22"/>
    <mergeCell ref="B18:B20"/>
    <mergeCell ref="D18:E18"/>
    <mergeCell ref="G18:J18"/>
    <mergeCell ref="D19:E19"/>
    <mergeCell ref="G19:J19"/>
    <mergeCell ref="D20:E20"/>
    <mergeCell ref="G20:J20"/>
    <mergeCell ref="B13:C13"/>
    <mergeCell ref="D13:E13"/>
    <mergeCell ref="F13:G13"/>
    <mergeCell ref="H13:I13"/>
    <mergeCell ref="B17:C17"/>
    <mergeCell ref="D17:E17"/>
    <mergeCell ref="G17:J17"/>
    <mergeCell ref="B11:C11"/>
    <mergeCell ref="D11:E11"/>
    <mergeCell ref="F11:G11"/>
    <mergeCell ref="H11:I11"/>
    <mergeCell ref="B12:C12"/>
    <mergeCell ref="D12:E12"/>
    <mergeCell ref="F12:G12"/>
    <mergeCell ref="H12:I12"/>
    <mergeCell ref="A1:K1"/>
    <mergeCell ref="I2:K2"/>
    <mergeCell ref="B10:C10"/>
    <mergeCell ref="D10:E10"/>
    <mergeCell ref="F10:G10"/>
    <mergeCell ref="H10:I10"/>
  </mergeCells>
  <phoneticPr fontId="2" type="noConversion"/>
  <printOptions horizontalCentered="1"/>
  <pageMargins left="0.19685039370078741" right="0.19685039370078741" top="0.78740157480314965" bottom="0.39370078740157483" header="0.31496062992125984" footer="0.31496062992125984"/>
  <pageSetup paperSize="9" scale="99" fitToHeight="4" orientation="portrait" r:id="rId1"/>
  <rowBreaks count="1" manualBreakCount="1">
    <brk id="43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1"/>
  <sheetViews>
    <sheetView view="pageBreakPreview" topLeftCell="A10" zoomScaleNormal="100" zoomScaleSheetLayoutView="100" workbookViewId="0">
      <selection activeCell="D12" sqref="D12:G13"/>
    </sheetView>
  </sheetViews>
  <sheetFormatPr defaultRowHeight="16.5"/>
  <cols>
    <col min="1" max="1" width="2.625" customWidth="1"/>
  </cols>
  <sheetData>
    <row r="1" spans="1:11" ht="20.25">
      <c r="A1" s="86" t="s">
        <v>44</v>
      </c>
      <c r="B1" s="86"/>
      <c r="C1" s="86"/>
      <c r="D1" s="86"/>
      <c r="E1" s="86"/>
      <c r="F1" s="86"/>
      <c r="G1" s="86"/>
      <c r="H1" s="86"/>
      <c r="I1" s="86"/>
      <c r="J1" s="86"/>
      <c r="K1" s="86"/>
    </row>
    <row r="2" spans="1:11">
      <c r="I2" s="87" t="s">
        <v>43</v>
      </c>
      <c r="J2" s="87"/>
      <c r="K2" s="87"/>
    </row>
    <row r="4" spans="1:11">
      <c r="A4" s="18" t="s">
        <v>42</v>
      </c>
    </row>
    <row r="5" spans="1:11">
      <c r="A5" t="s">
        <v>0</v>
      </c>
    </row>
    <row r="7" spans="1:11">
      <c r="A7" s="14" t="s">
        <v>1</v>
      </c>
    </row>
    <row r="8" spans="1:11">
      <c r="A8" t="s">
        <v>2</v>
      </c>
    </row>
    <row r="9" spans="1:11">
      <c r="A9" t="s">
        <v>3</v>
      </c>
    </row>
    <row r="10" spans="1:11">
      <c r="B10" s="88" t="s">
        <v>4</v>
      </c>
      <c r="C10" s="89"/>
      <c r="D10" s="88" t="s">
        <v>8</v>
      </c>
      <c r="E10" s="90"/>
      <c r="F10" s="90" t="s">
        <v>9</v>
      </c>
      <c r="G10" s="90"/>
      <c r="H10" s="90" t="s">
        <v>10</v>
      </c>
      <c r="I10" s="91"/>
    </row>
    <row r="11" spans="1:11">
      <c r="B11" s="80" t="s">
        <v>5</v>
      </c>
      <c r="C11" s="81"/>
      <c r="D11" s="80">
        <v>500</v>
      </c>
      <c r="E11" s="82"/>
      <c r="F11" s="82" t="s">
        <v>11</v>
      </c>
      <c r="G11" s="82"/>
      <c r="H11" s="82">
        <v>1350</v>
      </c>
      <c r="I11" s="83"/>
    </row>
    <row r="12" spans="1:11">
      <c r="B12" s="59" t="s">
        <v>6</v>
      </c>
      <c r="C12" s="60"/>
      <c r="D12" s="59">
        <v>495</v>
      </c>
      <c r="E12" s="84"/>
      <c r="F12" s="84">
        <v>5</v>
      </c>
      <c r="G12" s="84"/>
      <c r="H12" s="84">
        <v>1350</v>
      </c>
      <c r="I12" s="85"/>
    </row>
    <row r="13" spans="1:11">
      <c r="B13" s="63" t="s">
        <v>7</v>
      </c>
      <c r="C13" s="64"/>
      <c r="D13" s="63">
        <v>490</v>
      </c>
      <c r="E13" s="78"/>
      <c r="F13" s="78">
        <v>10</v>
      </c>
      <c r="G13" s="78"/>
      <c r="H13" s="78">
        <v>1350</v>
      </c>
      <c r="I13" s="79"/>
    </row>
    <row r="15" spans="1:11">
      <c r="A15" t="s">
        <v>12</v>
      </c>
    </row>
    <row r="16" spans="1:11">
      <c r="B16" s="14" t="s">
        <v>13</v>
      </c>
    </row>
    <row r="17" spans="2:11">
      <c r="B17" s="67" t="s">
        <v>4</v>
      </c>
      <c r="C17" s="68"/>
      <c r="D17" s="67" t="s">
        <v>14</v>
      </c>
      <c r="E17" s="68"/>
      <c r="F17" s="1"/>
      <c r="G17" s="67" t="s">
        <v>4</v>
      </c>
      <c r="H17" s="69"/>
      <c r="I17" s="69"/>
      <c r="J17" s="69"/>
      <c r="K17" s="15" t="s">
        <v>26</v>
      </c>
    </row>
    <row r="18" spans="2:11">
      <c r="B18" s="70" t="s">
        <v>20</v>
      </c>
      <c r="C18" s="22" t="s">
        <v>17</v>
      </c>
      <c r="D18" s="71">
        <v>13.3</v>
      </c>
      <c r="E18" s="72"/>
      <c r="F18" s="1"/>
      <c r="G18" s="73" t="s">
        <v>21</v>
      </c>
      <c r="H18" s="74"/>
      <c r="I18" s="74"/>
      <c r="J18" s="74"/>
      <c r="K18" s="4">
        <f>+ROUND(((K19/(K19-K20))*K21)+K22+(K21/2),2)</f>
        <v>2.79</v>
      </c>
    </row>
    <row r="19" spans="2:11">
      <c r="B19" s="59"/>
      <c r="C19" s="25" t="s">
        <v>18</v>
      </c>
      <c r="D19" s="59">
        <v>13.7</v>
      </c>
      <c r="E19" s="60"/>
      <c r="F19" s="1"/>
      <c r="G19" s="61" t="s">
        <v>22</v>
      </c>
      <c r="H19" s="62"/>
      <c r="I19" s="62"/>
      <c r="J19" s="62"/>
      <c r="K19" s="2">
        <f>+D19-D18</f>
        <v>0.39999999999999858</v>
      </c>
    </row>
    <row r="20" spans="2:11">
      <c r="B20" s="59"/>
      <c r="C20" s="25" t="s">
        <v>19</v>
      </c>
      <c r="D20" s="59">
        <v>12.9</v>
      </c>
      <c r="E20" s="60"/>
      <c r="F20" s="1"/>
      <c r="G20" s="61" t="s">
        <v>23</v>
      </c>
      <c r="H20" s="62"/>
      <c r="I20" s="62"/>
      <c r="J20" s="62"/>
      <c r="K20" s="2">
        <f>+D20-D19</f>
        <v>-0.79999999999999893</v>
      </c>
    </row>
    <row r="21" spans="2:11">
      <c r="B21" s="59" t="s">
        <v>15</v>
      </c>
      <c r="C21" s="60"/>
      <c r="D21" s="59">
        <v>39.49</v>
      </c>
      <c r="E21" s="60"/>
      <c r="F21" s="1"/>
      <c r="G21" s="61" t="s">
        <v>24</v>
      </c>
      <c r="H21" s="62"/>
      <c r="I21" s="62"/>
      <c r="J21" s="62"/>
      <c r="K21" s="2">
        <f>+D21/100</f>
        <v>0.39490000000000003</v>
      </c>
    </row>
    <row r="22" spans="2:11">
      <c r="B22" s="63" t="s">
        <v>16</v>
      </c>
      <c r="C22" s="64"/>
      <c r="D22" s="63">
        <v>2.46</v>
      </c>
      <c r="E22" s="64"/>
      <c r="F22" s="1"/>
      <c r="G22" s="65" t="s">
        <v>25</v>
      </c>
      <c r="H22" s="66"/>
      <c r="I22" s="66"/>
      <c r="J22" s="66"/>
      <c r="K22" s="3">
        <f>+D22</f>
        <v>2.46</v>
      </c>
    </row>
    <row r="24" spans="2:11">
      <c r="B24" t="s">
        <v>39</v>
      </c>
    </row>
    <row r="25" spans="2:11">
      <c r="B25" t="s">
        <v>28</v>
      </c>
      <c r="F25" t="s">
        <v>27</v>
      </c>
      <c r="G25" s="24">
        <f>+ROUND(((K19/(K19-K20))*K21)+K22+(K21/2),2)</f>
        <v>2.79</v>
      </c>
    </row>
    <row r="26" spans="2:11">
      <c r="B26" t="s">
        <v>29</v>
      </c>
    </row>
    <row r="27" spans="2:11">
      <c r="B27" s="34" t="s">
        <v>32</v>
      </c>
      <c r="C27" s="35"/>
      <c r="D27" s="35"/>
      <c r="E27" s="35"/>
      <c r="F27" s="36"/>
      <c r="G27" s="34" t="s">
        <v>26</v>
      </c>
      <c r="H27" s="35"/>
      <c r="I27" s="40"/>
      <c r="J27" s="41" t="s">
        <v>37</v>
      </c>
      <c r="K27" s="40"/>
    </row>
    <row r="28" spans="2:11">
      <c r="B28" s="37"/>
      <c r="C28" s="38"/>
      <c r="D28" s="38"/>
      <c r="E28" s="38"/>
      <c r="F28" s="39"/>
      <c r="G28" s="26" t="s">
        <v>34</v>
      </c>
      <c r="H28" s="27" t="s">
        <v>35</v>
      </c>
      <c r="I28" s="28" t="s">
        <v>36</v>
      </c>
      <c r="J28" s="42"/>
      <c r="K28" s="43"/>
    </row>
    <row r="29" spans="2:11">
      <c r="B29" s="29" t="s">
        <v>30</v>
      </c>
      <c r="C29" s="16"/>
      <c r="D29" s="16"/>
      <c r="E29" s="16"/>
      <c r="F29" s="17"/>
      <c r="G29" s="44" t="str">
        <f>+IF(K19&gt;0,"+","-")</f>
        <v>+</v>
      </c>
      <c r="H29" s="47" t="str">
        <f>+IF(K20&gt;0,"+","-")</f>
        <v>-</v>
      </c>
      <c r="I29" s="75">
        <f>+K19/K20</f>
        <v>-0.49999999999999889</v>
      </c>
      <c r="J29" s="53" t="str">
        <f>+IF(G29=H29,IF(I29&lt;2,IF(I29&gt;0.5,"재시험","적정"),"적정"),"적정")</f>
        <v>적정</v>
      </c>
      <c r="K29" s="54"/>
    </row>
    <row r="30" spans="2:11">
      <c r="B30" s="6" t="s">
        <v>31</v>
      </c>
      <c r="C30" s="5"/>
      <c r="D30" s="5"/>
      <c r="E30" s="5"/>
      <c r="F30" s="12"/>
      <c r="G30" s="45"/>
      <c r="H30" s="48"/>
      <c r="I30" s="76"/>
      <c r="J30" s="55"/>
      <c r="K30" s="56"/>
    </row>
    <row r="31" spans="2:11">
      <c r="B31" s="7" t="s">
        <v>33</v>
      </c>
      <c r="C31" s="8"/>
      <c r="D31" s="8"/>
      <c r="E31" s="8"/>
      <c r="F31" s="13"/>
      <c r="G31" s="46"/>
      <c r="H31" s="49"/>
      <c r="I31" s="77"/>
      <c r="J31" s="57"/>
      <c r="K31" s="58"/>
    </row>
    <row r="33" spans="2:11">
      <c r="B33" s="14" t="s">
        <v>38</v>
      </c>
    </row>
    <row r="34" spans="2:11">
      <c r="B34" s="67" t="s">
        <v>4</v>
      </c>
      <c r="C34" s="68"/>
      <c r="D34" s="67" t="s">
        <v>14</v>
      </c>
      <c r="E34" s="68"/>
      <c r="F34" s="1"/>
      <c r="G34" s="67" t="s">
        <v>4</v>
      </c>
      <c r="H34" s="69"/>
      <c r="I34" s="69"/>
      <c r="J34" s="69"/>
      <c r="K34" s="15" t="s">
        <v>26</v>
      </c>
    </row>
    <row r="35" spans="2:11">
      <c r="B35" s="70" t="s">
        <v>20</v>
      </c>
      <c r="C35" s="22" t="s">
        <v>17</v>
      </c>
      <c r="D35" s="71">
        <v>13.1</v>
      </c>
      <c r="E35" s="72"/>
      <c r="F35" s="1"/>
      <c r="G35" s="73" t="s">
        <v>21</v>
      </c>
      <c r="H35" s="74"/>
      <c r="I35" s="74"/>
      <c r="J35" s="74"/>
      <c r="K35" s="4">
        <f>ROUND(((K36/(K36-K37))*K38)+K39+(K38/2),2)</f>
        <v>2.82</v>
      </c>
    </row>
    <row r="36" spans="2:11">
      <c r="B36" s="59"/>
      <c r="C36" s="25" t="s">
        <v>18</v>
      </c>
      <c r="D36" s="59">
        <v>13.6</v>
      </c>
      <c r="E36" s="60"/>
      <c r="F36" s="1"/>
      <c r="G36" s="61" t="s">
        <v>22</v>
      </c>
      <c r="H36" s="62"/>
      <c r="I36" s="62"/>
      <c r="J36" s="62"/>
      <c r="K36" s="2">
        <f>+D36-D35</f>
        <v>0.5</v>
      </c>
    </row>
    <row r="37" spans="2:11">
      <c r="B37" s="59"/>
      <c r="C37" s="25" t="s">
        <v>19</v>
      </c>
      <c r="D37" s="59">
        <v>12.9</v>
      </c>
      <c r="E37" s="60"/>
      <c r="F37" s="1"/>
      <c r="G37" s="61" t="s">
        <v>23</v>
      </c>
      <c r="H37" s="62"/>
      <c r="I37" s="62"/>
      <c r="J37" s="62"/>
      <c r="K37" s="2">
        <f>+D37-D36</f>
        <v>-0.69999999999999929</v>
      </c>
    </row>
    <row r="38" spans="2:11">
      <c r="B38" s="59" t="s">
        <v>15</v>
      </c>
      <c r="C38" s="60"/>
      <c r="D38" s="59">
        <v>39.49</v>
      </c>
      <c r="E38" s="60"/>
      <c r="F38" s="1"/>
      <c r="G38" s="61" t="s">
        <v>24</v>
      </c>
      <c r="H38" s="62"/>
      <c r="I38" s="62"/>
      <c r="J38" s="62"/>
      <c r="K38" s="2">
        <f>+D38/100</f>
        <v>0.39490000000000003</v>
      </c>
    </row>
    <row r="39" spans="2:11">
      <c r="B39" s="63" t="s">
        <v>16</v>
      </c>
      <c r="C39" s="64"/>
      <c r="D39" s="63">
        <f>+D22</f>
        <v>2.46</v>
      </c>
      <c r="E39" s="64"/>
      <c r="F39" s="1"/>
      <c r="G39" s="65" t="s">
        <v>25</v>
      </c>
      <c r="H39" s="66"/>
      <c r="I39" s="66"/>
      <c r="J39" s="66"/>
      <c r="K39" s="3">
        <f>+D39</f>
        <v>2.46</v>
      </c>
    </row>
    <row r="41" spans="2:11">
      <c r="B41" t="s">
        <v>39</v>
      </c>
    </row>
    <row r="42" spans="2:11">
      <c r="B42" t="s">
        <v>28</v>
      </c>
      <c r="F42" t="s">
        <v>27</v>
      </c>
      <c r="G42" s="24">
        <f>+ROUND(((K36/(K36-K37))*K38)+K39+(K38/2),2)</f>
        <v>2.82</v>
      </c>
    </row>
    <row r="43" spans="2:11">
      <c r="B43" t="s">
        <v>29</v>
      </c>
    </row>
    <row r="44" spans="2:11">
      <c r="B44" s="34" t="s">
        <v>32</v>
      </c>
      <c r="C44" s="35"/>
      <c r="D44" s="35"/>
      <c r="E44" s="35"/>
      <c r="F44" s="36"/>
      <c r="G44" s="34" t="s">
        <v>26</v>
      </c>
      <c r="H44" s="35"/>
      <c r="I44" s="40"/>
      <c r="J44" s="41" t="s">
        <v>37</v>
      </c>
      <c r="K44" s="40"/>
    </row>
    <row r="45" spans="2:11">
      <c r="B45" s="37"/>
      <c r="C45" s="38"/>
      <c r="D45" s="38"/>
      <c r="E45" s="38"/>
      <c r="F45" s="39"/>
      <c r="G45" s="26" t="s">
        <v>34</v>
      </c>
      <c r="H45" s="27" t="s">
        <v>35</v>
      </c>
      <c r="I45" s="28" t="s">
        <v>36</v>
      </c>
      <c r="J45" s="42"/>
      <c r="K45" s="43"/>
    </row>
    <row r="46" spans="2:11">
      <c r="B46" s="9" t="s">
        <v>30</v>
      </c>
      <c r="C46" s="10"/>
      <c r="D46" s="10"/>
      <c r="E46" s="10"/>
      <c r="F46" s="11"/>
      <c r="G46" s="44" t="str">
        <f>+IF(K36&gt;0,"+","-")</f>
        <v>+</v>
      </c>
      <c r="H46" s="47" t="str">
        <f>+IF(K37&gt;0,"+","-")</f>
        <v>-</v>
      </c>
      <c r="I46" s="50">
        <f>ROUND(K36/K37,2)</f>
        <v>-0.71</v>
      </c>
      <c r="J46" s="53" t="str">
        <f>+IF(G46=H46,IF(I46&lt;2,IF(I46&gt;0.5,"재시험","적정"),"적정"),"적정")</f>
        <v>적정</v>
      </c>
      <c r="K46" s="54"/>
    </row>
    <row r="47" spans="2:11">
      <c r="B47" s="6" t="s">
        <v>31</v>
      </c>
      <c r="C47" s="5"/>
      <c r="D47" s="5"/>
      <c r="E47" s="5"/>
      <c r="F47" s="12"/>
      <c r="G47" s="45"/>
      <c r="H47" s="48"/>
      <c r="I47" s="51"/>
      <c r="J47" s="55"/>
      <c r="K47" s="56"/>
    </row>
    <row r="48" spans="2:11">
      <c r="B48" s="7" t="s">
        <v>33</v>
      </c>
      <c r="C48" s="8"/>
      <c r="D48" s="8"/>
      <c r="E48" s="8"/>
      <c r="F48" s="13"/>
      <c r="G48" s="46"/>
      <c r="H48" s="49"/>
      <c r="I48" s="52"/>
      <c r="J48" s="57"/>
      <c r="K48" s="58"/>
    </row>
    <row r="51" spans="2:11">
      <c r="B51" s="14" t="s">
        <v>41</v>
      </c>
    </row>
    <row r="52" spans="2:11">
      <c r="B52" s="67" t="s">
        <v>4</v>
      </c>
      <c r="C52" s="68"/>
      <c r="D52" s="67" t="s">
        <v>14</v>
      </c>
      <c r="E52" s="68"/>
      <c r="F52" s="1"/>
      <c r="G52" s="67" t="s">
        <v>4</v>
      </c>
      <c r="H52" s="69"/>
      <c r="I52" s="69"/>
      <c r="J52" s="69"/>
      <c r="K52" s="15" t="s">
        <v>26</v>
      </c>
    </row>
    <row r="53" spans="2:11">
      <c r="B53" s="70" t="s">
        <v>20</v>
      </c>
      <c r="C53" s="22" t="s">
        <v>17</v>
      </c>
      <c r="D53" s="71"/>
      <c r="E53" s="72"/>
      <c r="F53" s="1"/>
      <c r="G53" s="73" t="s">
        <v>21</v>
      </c>
      <c r="H53" s="74"/>
      <c r="I53" s="74"/>
      <c r="J53" s="74"/>
      <c r="K53" s="4" t="e">
        <f>+ROUND(((K54/(K54-K55))*K56)+K57+(K56/2),2)</f>
        <v>#DIV/0!</v>
      </c>
    </row>
    <row r="54" spans="2:11">
      <c r="B54" s="59"/>
      <c r="C54" s="25" t="s">
        <v>18</v>
      </c>
      <c r="D54" s="59"/>
      <c r="E54" s="60"/>
      <c r="F54" s="1"/>
      <c r="G54" s="61" t="s">
        <v>22</v>
      </c>
      <c r="H54" s="62"/>
      <c r="I54" s="62"/>
      <c r="J54" s="62"/>
      <c r="K54" s="2">
        <f>+D54-D53</f>
        <v>0</v>
      </c>
    </row>
    <row r="55" spans="2:11">
      <c r="B55" s="59"/>
      <c r="C55" s="25" t="s">
        <v>19</v>
      </c>
      <c r="D55" s="59"/>
      <c r="E55" s="60"/>
      <c r="F55" s="1"/>
      <c r="G55" s="61" t="s">
        <v>23</v>
      </c>
      <c r="H55" s="62"/>
      <c r="I55" s="62"/>
      <c r="J55" s="62"/>
      <c r="K55" s="2">
        <f>+D55-D54</f>
        <v>0</v>
      </c>
    </row>
    <row r="56" spans="2:11">
      <c r="B56" s="59" t="s">
        <v>15</v>
      </c>
      <c r="C56" s="60"/>
      <c r="D56" s="59">
        <f>D21</f>
        <v>39.49</v>
      </c>
      <c r="E56" s="60"/>
      <c r="F56" s="1"/>
      <c r="G56" s="61" t="s">
        <v>24</v>
      </c>
      <c r="H56" s="62"/>
      <c r="I56" s="62"/>
      <c r="J56" s="62"/>
      <c r="K56" s="2">
        <f>+D56/100</f>
        <v>0.39490000000000003</v>
      </c>
    </row>
    <row r="57" spans="2:11">
      <c r="B57" s="63" t="s">
        <v>16</v>
      </c>
      <c r="C57" s="64"/>
      <c r="D57" s="63">
        <f>+D39</f>
        <v>2.46</v>
      </c>
      <c r="E57" s="64"/>
      <c r="F57" s="1"/>
      <c r="G57" s="65" t="s">
        <v>25</v>
      </c>
      <c r="H57" s="66"/>
      <c r="I57" s="66"/>
      <c r="J57" s="66"/>
      <c r="K57" s="3">
        <f>+D57</f>
        <v>2.46</v>
      </c>
    </row>
    <row r="59" spans="2:11">
      <c r="B59" t="s">
        <v>39</v>
      </c>
    </row>
    <row r="60" spans="2:11">
      <c r="B60" t="s">
        <v>28</v>
      </c>
      <c r="F60" t="s">
        <v>27</v>
      </c>
      <c r="G60" s="24" t="e">
        <f>+ROUND(((K54/(K54-K55))*K56)+K57+(K56/2),2)</f>
        <v>#DIV/0!</v>
      </c>
    </row>
    <row r="61" spans="2:11">
      <c r="B61" t="s">
        <v>29</v>
      </c>
    </row>
    <row r="62" spans="2:11">
      <c r="B62" s="34" t="s">
        <v>32</v>
      </c>
      <c r="C62" s="35"/>
      <c r="D62" s="35"/>
      <c r="E62" s="35"/>
      <c r="F62" s="36"/>
      <c r="G62" s="34" t="s">
        <v>26</v>
      </c>
      <c r="H62" s="35"/>
      <c r="I62" s="40"/>
      <c r="J62" s="41" t="s">
        <v>37</v>
      </c>
      <c r="K62" s="40"/>
    </row>
    <row r="63" spans="2:11">
      <c r="B63" s="37"/>
      <c r="C63" s="38"/>
      <c r="D63" s="38"/>
      <c r="E63" s="38"/>
      <c r="F63" s="39"/>
      <c r="G63" s="26" t="s">
        <v>34</v>
      </c>
      <c r="H63" s="27" t="s">
        <v>35</v>
      </c>
      <c r="I63" s="28" t="s">
        <v>36</v>
      </c>
      <c r="J63" s="42"/>
      <c r="K63" s="43"/>
    </row>
    <row r="64" spans="2:11">
      <c r="B64" s="9" t="s">
        <v>30</v>
      </c>
      <c r="C64" s="10"/>
      <c r="D64" s="10"/>
      <c r="E64" s="10"/>
      <c r="F64" s="11"/>
      <c r="G64" s="44" t="str">
        <f>+IF(K54&gt;0,"+","-")</f>
        <v>-</v>
      </c>
      <c r="H64" s="47" t="str">
        <f>+IF(K55&gt;0,"+","-")</f>
        <v>-</v>
      </c>
      <c r="I64" s="50" t="e">
        <f>ROUND(+K54/K55,2)</f>
        <v>#DIV/0!</v>
      </c>
      <c r="J64" s="53" t="e">
        <f>+IF(G64=H64,IF(I64&lt;2,IF(I64&gt;0.5,"재시험","적정"),"적정"),"적정")</f>
        <v>#DIV/0!</v>
      </c>
      <c r="K64" s="54"/>
    </row>
    <row r="65" spans="1:11">
      <c r="B65" s="6" t="s">
        <v>31</v>
      </c>
      <c r="C65" s="5"/>
      <c r="D65" s="5"/>
      <c r="E65" s="5"/>
      <c r="F65" s="12"/>
      <c r="G65" s="45"/>
      <c r="H65" s="48"/>
      <c r="I65" s="51"/>
      <c r="J65" s="55"/>
      <c r="K65" s="56"/>
    </row>
    <row r="66" spans="1:11">
      <c r="B66" s="7" t="s">
        <v>33</v>
      </c>
      <c r="C66" s="8"/>
      <c r="D66" s="8"/>
      <c r="E66" s="8"/>
      <c r="F66" s="13"/>
      <c r="G66" s="46"/>
      <c r="H66" s="49"/>
      <c r="I66" s="52"/>
      <c r="J66" s="57"/>
      <c r="K66" s="58"/>
    </row>
    <row r="68" spans="1:11">
      <c r="A68" s="14" t="s">
        <v>40</v>
      </c>
    </row>
    <row r="69" spans="1:11">
      <c r="B69" t="s">
        <v>51</v>
      </c>
    </row>
    <row r="70" spans="1:11">
      <c r="B70" t="s">
        <v>47</v>
      </c>
    </row>
    <row r="71" spans="1:11">
      <c r="B71" t="s">
        <v>46</v>
      </c>
    </row>
  </sheetData>
  <mergeCells count="87">
    <mergeCell ref="A1:K1"/>
    <mergeCell ref="I2:K2"/>
    <mergeCell ref="B10:C10"/>
    <mergeCell ref="D10:E10"/>
    <mergeCell ref="F10:G10"/>
    <mergeCell ref="H10:I10"/>
    <mergeCell ref="B11:C11"/>
    <mergeCell ref="D11:E11"/>
    <mergeCell ref="F11:G11"/>
    <mergeCell ref="H11:I11"/>
    <mergeCell ref="B12:C12"/>
    <mergeCell ref="D12:E12"/>
    <mergeCell ref="F12:G12"/>
    <mergeCell ref="H12:I12"/>
    <mergeCell ref="B13:C13"/>
    <mergeCell ref="D13:E13"/>
    <mergeCell ref="F13:G13"/>
    <mergeCell ref="H13:I13"/>
    <mergeCell ref="B17:C17"/>
    <mergeCell ref="D17:E17"/>
    <mergeCell ref="G17:J17"/>
    <mergeCell ref="B18:B20"/>
    <mergeCell ref="D18:E18"/>
    <mergeCell ref="G18:J18"/>
    <mergeCell ref="D19:E19"/>
    <mergeCell ref="G19:J19"/>
    <mergeCell ref="D20:E20"/>
    <mergeCell ref="G20:J20"/>
    <mergeCell ref="B21:C21"/>
    <mergeCell ref="D21:E21"/>
    <mergeCell ref="G21:J21"/>
    <mergeCell ref="B22:C22"/>
    <mergeCell ref="D22:E22"/>
    <mergeCell ref="G22:J22"/>
    <mergeCell ref="B27:F28"/>
    <mergeCell ref="G27:I27"/>
    <mergeCell ref="J27:K28"/>
    <mergeCell ref="G29:G31"/>
    <mergeCell ref="H29:H31"/>
    <mergeCell ref="I29:I31"/>
    <mergeCell ref="J29:K31"/>
    <mergeCell ref="B34:C34"/>
    <mergeCell ref="D34:E34"/>
    <mergeCell ref="G34:J34"/>
    <mergeCell ref="B35:B37"/>
    <mergeCell ref="D35:E35"/>
    <mergeCell ref="G35:J35"/>
    <mergeCell ref="D36:E36"/>
    <mergeCell ref="G36:J36"/>
    <mergeCell ref="D37:E37"/>
    <mergeCell ref="G37:J37"/>
    <mergeCell ref="B38:C38"/>
    <mergeCell ref="D38:E38"/>
    <mergeCell ref="G38:J38"/>
    <mergeCell ref="B39:C39"/>
    <mergeCell ref="D39:E39"/>
    <mergeCell ref="G39:J39"/>
    <mergeCell ref="B44:F45"/>
    <mergeCell ref="G44:I44"/>
    <mergeCell ref="J44:K45"/>
    <mergeCell ref="G46:G48"/>
    <mergeCell ref="H46:H48"/>
    <mergeCell ref="I46:I48"/>
    <mergeCell ref="J46:K48"/>
    <mergeCell ref="B52:C52"/>
    <mergeCell ref="D52:E52"/>
    <mergeCell ref="G52:J52"/>
    <mergeCell ref="B53:B55"/>
    <mergeCell ref="D53:E53"/>
    <mergeCell ref="G53:J53"/>
    <mergeCell ref="D54:E54"/>
    <mergeCell ref="G54:J54"/>
    <mergeCell ref="D55:E55"/>
    <mergeCell ref="G55:J55"/>
    <mergeCell ref="B56:C56"/>
    <mergeCell ref="D56:E56"/>
    <mergeCell ref="G56:J56"/>
    <mergeCell ref="B57:C57"/>
    <mergeCell ref="D57:E57"/>
    <mergeCell ref="G57:J57"/>
    <mergeCell ref="B62:F63"/>
    <mergeCell ref="G62:I62"/>
    <mergeCell ref="J62:K63"/>
    <mergeCell ref="G64:G66"/>
    <mergeCell ref="H64:H66"/>
    <mergeCell ref="I64:I66"/>
    <mergeCell ref="J64:K66"/>
  </mergeCells>
  <phoneticPr fontId="2" type="noConversion"/>
  <printOptions horizontalCentered="1"/>
  <pageMargins left="0.19685039370078741" right="0.19685039370078741" top="0.78740157480314965" bottom="0.39370078740157483" header="0.31496062992125984" footer="0.31496062992125984"/>
  <pageSetup paperSize="9" scale="99" fitToHeight="4" orientation="portrait" r:id="rId1"/>
  <rowBreaks count="1" manualBreakCount="1">
    <brk id="43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2.50</vt:lpstr>
      <vt:lpstr>2.65</vt:lpstr>
      <vt:lpstr>2.70</vt:lpstr>
      <vt:lpstr>2.80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2026-02-13T12:09:07Z</cp:lastPrinted>
  <dcterms:created xsi:type="dcterms:W3CDTF">2019-03-24T23:38:06Z</dcterms:created>
  <dcterms:modified xsi:type="dcterms:W3CDTF">2026-02-13T12:09:19Z</dcterms:modified>
</cp:coreProperties>
</file>